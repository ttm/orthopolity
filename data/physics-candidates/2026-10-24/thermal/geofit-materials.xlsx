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P:\SGP-09186\data\05_WorkPackages_Tasks\03_WP3\Experiments\"/>
    </mc:Choice>
  </mc:AlternateContent>
  <xr:revisionPtr revIDLastSave="0" documentId="13_ncr:1_{1A98D569-75AF-475F-AAB4-61E7E405D6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terial Parameters" sheetId="3" r:id="rId1"/>
    <sheet name="Tabelle1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8" i="3" l="1"/>
  <c r="AG9" i="3"/>
  <c r="AG10" i="3"/>
  <c r="AG11" i="3"/>
  <c r="AG12" i="3"/>
  <c r="AG13" i="3"/>
  <c r="AG14" i="3"/>
  <c r="AG15" i="3"/>
  <c r="AG16" i="3"/>
  <c r="AG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tc={F6735058-3083-46A6-A39A-78FFEB126C88}</author>
    <author>tc={61060171-D874-46E9-8E39-48813DDB4E5A}</author>
  </authors>
  <commentList>
    <comment ref="D5" authorId="0" shapeId="0" xr:uid="{F6735058-3083-46A6-A39A-78FFEB126C8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preparation time and temperature harmonisation not included</t>
      </text>
    </comment>
    <comment ref="D8" authorId="1" shapeId="0" xr:uid="{61060171-D874-46E9-8E39-48813DDB4E5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had to be aborted because of available timeslots in Lab</t>
      </text>
    </comment>
  </commentList>
</comments>
</file>

<file path=xl/sharedStrings.xml><?xml version="1.0" encoding="utf-8"?>
<sst xmlns="http://schemas.openxmlformats.org/spreadsheetml/2006/main" count="122" uniqueCount="62">
  <si>
    <t>duration</t>
  </si>
  <si>
    <t>time</t>
  </si>
  <si>
    <t>material</t>
  </si>
  <si>
    <t>diameter</t>
  </si>
  <si>
    <t>pitch</t>
  </si>
  <si>
    <t>height</t>
  </si>
  <si>
    <t>mm</t>
  </si>
  <si>
    <t>-</t>
  </si>
  <si>
    <t>sand</t>
  </si>
  <si>
    <t>W/m</t>
  </si>
  <si>
    <t>m</t>
  </si>
  <si>
    <t>measurement</t>
  </si>
  <si>
    <t>M2.3</t>
  </si>
  <si>
    <t>°C</t>
  </si>
  <si>
    <t>h</t>
  </si>
  <si>
    <t>M2.4</t>
  </si>
  <si>
    <t>humus</t>
  </si>
  <si>
    <t>type</t>
  </si>
  <si>
    <t>dry</t>
  </si>
  <si>
    <t>moisture
content</t>
  </si>
  <si>
    <t>date</t>
  </si>
  <si>
    <t>length</t>
  </si>
  <si>
    <t xml:space="preserve">Dry Sand </t>
  </si>
  <si>
    <t>Same Sand with 6,14 % Moisture Content</t>
  </si>
  <si>
    <t>Dry Humus Garden Soil</t>
  </si>
  <si>
    <t>M3.1</t>
  </si>
  <si>
    <t>untreated</t>
  </si>
  <si>
    <t>M3.2</t>
  </si>
  <si>
    <t>geometry</t>
  </si>
  <si>
    <t>power</t>
  </si>
  <si>
    <t>heat input</t>
  </si>
  <si>
    <t>Sand</t>
  </si>
  <si>
    <t>cp</t>
  </si>
  <si>
    <t>rho</t>
  </si>
  <si>
    <t>lambda</t>
  </si>
  <si>
    <t>J/kgK</t>
  </si>
  <si>
    <t>kg/m³</t>
  </si>
  <si>
    <t>W/mK</t>
  </si>
  <si>
    <t>moisture 6.24%</t>
  </si>
  <si>
    <t>moisture 6.14%</t>
  </si>
  <si>
    <t>Humus / 6,24% H2O</t>
  </si>
  <si>
    <t>Measurement procedure acoording to 
DIN EN 12664, DIN EN 12667,
DIN EN 12939, ISO 8301, ASTM C518 and JIS A1412</t>
  </si>
  <si>
    <t>Start of measurement:</t>
  </si>
  <si>
    <t>Gas flow:</t>
  </si>
  <si>
    <t>Ambient / Static</t>
  </si>
  <si>
    <t>Isothermal conditions ∂T/∂t:</t>
  </si>
  <si>
    <t>&lt; 0,1 K/min</t>
  </si>
  <si>
    <r>
      <t xml:space="preserve">measured data
</t>
    </r>
    <r>
      <rPr>
        <b/>
        <sz val="12"/>
        <rFont val="Symbol"/>
        <family val="1"/>
        <charset val="2"/>
      </rPr>
      <t>l</t>
    </r>
    <r>
      <rPr>
        <b/>
        <sz val="12"/>
        <rFont val="Arial"/>
        <family val="2"/>
      </rPr>
      <t xml:space="preserve">  /  W/m.K</t>
    </r>
  </si>
  <si>
    <r>
      <t xml:space="preserve">mean value
</t>
    </r>
    <r>
      <rPr>
        <b/>
        <sz val="12"/>
        <rFont val="Symbol"/>
        <family val="1"/>
        <charset val="2"/>
      </rPr>
      <t>l</t>
    </r>
    <r>
      <rPr>
        <b/>
        <sz val="12"/>
        <rFont val="Arial"/>
        <family val="2"/>
      </rPr>
      <t xml:space="preserve"> / W/m.K</t>
    </r>
  </si>
  <si>
    <r>
      <t xml:space="preserve">statistical analysis: k = 2
</t>
    </r>
    <r>
      <rPr>
        <b/>
        <sz val="12"/>
        <rFont val="Symbol"/>
        <family val="1"/>
        <charset val="2"/>
      </rPr>
      <t>l</t>
    </r>
    <r>
      <rPr>
        <b/>
        <sz val="12"/>
        <rFont val="Arial"/>
        <family val="2"/>
      </rPr>
      <t xml:space="preserve"> / W/m.K</t>
    </r>
  </si>
  <si>
    <t>T  / °C</t>
  </si>
  <si>
    <t>run 1</t>
  </si>
  <si>
    <t>run 2</t>
  </si>
  <si>
    <t>run 3</t>
  </si>
  <si>
    <t>mean value</t>
  </si>
  <si>
    <r>
      <t xml:space="preserve">+ </t>
    </r>
    <r>
      <rPr>
        <sz val="10"/>
        <rFont val="Calibri"/>
        <family val="2"/>
      </rPr>
      <t>√</t>
    </r>
    <r>
      <rPr>
        <sz val="10"/>
        <rFont val="Arial"/>
        <family val="2"/>
      </rPr>
      <t xml:space="preserve"> [ESU² + MSU²]|</t>
    </r>
    <r>
      <rPr>
        <sz val="10"/>
        <rFont val="Symbol"/>
        <family val="1"/>
        <charset val="2"/>
      </rPr>
      <t>l</t>
    </r>
  </si>
  <si>
    <r>
      <t>SDV|</t>
    </r>
    <r>
      <rPr>
        <vertAlign val="subscript"/>
        <sz val="10"/>
        <rFont val="Symbol"/>
        <family val="1"/>
        <charset val="2"/>
      </rPr>
      <t>l</t>
    </r>
  </si>
  <si>
    <r>
      <t>u</t>
    </r>
    <r>
      <rPr>
        <b/>
        <vertAlign val="subscript"/>
        <sz val="10"/>
        <rFont val="Arial"/>
        <family val="2"/>
      </rPr>
      <t>c</t>
    </r>
    <r>
      <rPr>
        <b/>
        <sz val="10"/>
        <rFont val="Arial"/>
        <family val="2"/>
      </rPr>
      <t>(</t>
    </r>
    <r>
      <rPr>
        <b/>
        <sz val="10"/>
        <rFont val="Symbol"/>
        <family val="1"/>
        <charset val="2"/>
      </rPr>
      <t>l</t>
    </r>
    <r>
      <rPr>
        <b/>
        <sz val="10"/>
        <rFont val="Arial"/>
        <family val="2"/>
      </rPr>
      <t>)</t>
    </r>
  </si>
  <si>
    <t>M 3.21 Moist Soil</t>
  </si>
  <si>
    <t>Humus</t>
  </si>
  <si>
    <t>n.a.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</si>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</sst>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0"/>
    <numFmt numFmtId="166" formatCode="0.000"/>
    <numFmt numFmtId="167" formatCode="0.0000"/>
    <numFmt numFmtId="168" formatCode="_-* #,##0.00\ _€_-;\-* #,##0.00\ _€_-;_-* &quot;-&quot;??\ _€_-;_-@_-"/>
    <numFmt numFmtId="169" formatCode="dd/mm/yy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</font>
    <font>
      <sz val="10"/>
      <name val="Arial"/>
    </font>
    <font>
      <b/>
      <sz val="10"/>
      <name val="Arial"/>
      <family val="2"/>
    </font>
    <font>
      <b/>
      <vertAlign val="subscript"/>
      <sz val="10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b/>
      <sz val="12"/>
      <name val="Symbol"/>
      <family val="1"/>
      <charset val="2"/>
    </font>
    <font>
      <sz val="10"/>
      <name val="Symbol"/>
      <family val="1"/>
      <charset val="2"/>
    </font>
    <font>
      <vertAlign val="subscript"/>
      <sz val="10"/>
      <name val="Symbol"/>
      <family val="1"/>
      <charset val="2"/>
    </font>
    <font>
      <b/>
      <sz val="10"/>
      <name val="Symbol"/>
      <family val="1"/>
      <charset val="2"/>
    </font>
    <font>
      <sz val="8"/>
      <name val="Arial Narrow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5" fillId="0" borderId="0"/>
    <xf numFmtId="0" fontId="6" fillId="0" borderId="0"/>
    <xf numFmtId="0" fontId="4" fillId="0" borderId="0"/>
    <xf numFmtId="0" fontId="5" fillId="0" borderId="0"/>
    <xf numFmtId="0" fontId="5" fillId="0" borderId="0"/>
    <xf numFmtId="0" fontId="5" fillId="0" borderId="0"/>
    <xf numFmtId="168" fontId="4" fillId="0" borderId="0" applyFont="0" applyFill="0" applyBorder="0" applyAlignment="0" applyProtection="0"/>
    <xf numFmtId="0" fontId="5" fillId="0" borderId="0"/>
    <xf numFmtId="0" fontId="7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10" fillId="0" borderId="0"/>
    <xf numFmtId="0" fontId="5" fillId="0" borderId="0"/>
    <xf numFmtId="0" fontId="5" fillId="0" borderId="0"/>
    <xf numFmtId="0" fontId="7" fillId="0" borderId="0"/>
    <xf numFmtId="9" fontId="7" fillId="0" borderId="0" applyFont="0" applyFill="0" applyBorder="0" applyAlignment="0" applyProtection="0"/>
  </cellStyleXfs>
  <cellXfs count="122">
    <xf numFmtId="0" fontId="0" fillId="0" borderId="0" xfId="0"/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66" fontId="5" fillId="0" borderId="1" xfId="1" applyNumberFormat="1" applyBorder="1" applyAlignment="1">
      <alignment horizontal="center"/>
    </xf>
    <xf numFmtId="166" fontId="5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21" xfId="2" applyBorder="1" applyAlignment="1">
      <alignment horizontal="right" vertical="center"/>
    </xf>
    <xf numFmtId="0" fontId="8" fillId="0" borderId="21" xfId="2" applyFont="1" applyBorder="1" applyAlignment="1">
      <alignment horizontal="right" vertical="center"/>
    </xf>
    <xf numFmtId="169" fontId="8" fillId="0" borderId="22" xfId="2" applyNumberFormat="1" applyFont="1" applyBorder="1" applyAlignment="1">
      <alignment horizontal="right" vertical="center"/>
    </xf>
    <xf numFmtId="0" fontId="6" fillId="0" borderId="4" xfId="2" applyBorder="1" applyAlignment="1">
      <alignment horizontal="right" vertical="center"/>
    </xf>
    <xf numFmtId="0" fontId="8" fillId="0" borderId="4" xfId="2" applyFont="1" applyBorder="1" applyAlignment="1">
      <alignment horizontal="right" vertical="center"/>
    </xf>
    <xf numFmtId="0" fontId="8" fillId="0" borderId="24" xfId="2" applyFont="1" applyBorder="1" applyAlignment="1">
      <alignment horizontal="right" vertical="center"/>
    </xf>
    <xf numFmtId="0" fontId="6" fillId="0" borderId="26" xfId="2" applyBorder="1" applyAlignment="1">
      <alignment horizontal="right" vertical="center"/>
    </xf>
    <xf numFmtId="0" fontId="8" fillId="0" borderId="26" xfId="2" applyFont="1" applyBorder="1" applyAlignment="1">
      <alignment horizontal="right" vertical="center"/>
    </xf>
    <xf numFmtId="0" fontId="8" fillId="0" borderId="27" xfId="2" applyFont="1" applyBorder="1" applyAlignment="1">
      <alignment horizontal="right" vertical="center"/>
    </xf>
    <xf numFmtId="0" fontId="11" fillId="3" borderId="20" xfId="13" applyFont="1" applyFill="1" applyBorder="1" applyAlignment="1">
      <alignment horizontal="center" vertical="center"/>
    </xf>
    <xf numFmtId="0" fontId="11" fillId="0" borderId="15" xfId="1" applyFont="1" applyBorder="1" applyAlignment="1">
      <alignment horizontal="center" vertical="center" wrapText="1"/>
    </xf>
    <xf numFmtId="0" fontId="6" fillId="0" borderId="23" xfId="2" applyFill="1" applyBorder="1" applyAlignment="1">
      <alignment horizontal="center" vertical="center"/>
    </xf>
    <xf numFmtId="0" fontId="11" fillId="0" borderId="6" xfId="14" applyFont="1" applyBorder="1" applyAlignment="1">
      <alignment horizontal="center" vertical="center" wrapText="1"/>
    </xf>
    <xf numFmtId="0" fontId="11" fillId="0" borderId="7" xfId="14" applyFont="1" applyBorder="1" applyAlignment="1">
      <alignment horizontal="center" vertical="center"/>
    </xf>
    <xf numFmtId="0" fontId="11" fillId="0" borderId="8" xfId="14" applyFont="1" applyBorder="1" applyAlignment="1">
      <alignment horizontal="center" vertical="center"/>
    </xf>
    <xf numFmtId="0" fontId="11" fillId="0" borderId="20" xfId="14" applyFont="1" applyBorder="1" applyAlignment="1">
      <alignment horizontal="center" vertical="center" wrapText="1"/>
    </xf>
    <xf numFmtId="0" fontId="11" fillId="0" borderId="6" xfId="14" applyFont="1" applyBorder="1" applyAlignment="1">
      <alignment horizontal="center" vertical="center"/>
    </xf>
    <xf numFmtId="1" fontId="16" fillId="0" borderId="18" xfId="15" applyNumberFormat="1" applyFont="1" applyFill="1" applyBorder="1" applyAlignment="1">
      <alignment horizontal="center"/>
    </xf>
    <xf numFmtId="49" fontId="11" fillId="0" borderId="28" xfId="14" applyNumberFormat="1" applyFont="1" applyFill="1" applyBorder="1" applyAlignment="1">
      <alignment horizontal="center" vertical="center" wrapText="1"/>
    </xf>
    <xf numFmtId="49" fontId="5" fillId="0" borderId="29" xfId="1" applyNumberFormat="1" applyFont="1" applyBorder="1" applyAlignment="1">
      <alignment horizontal="center" vertical="center" wrapText="1"/>
    </xf>
    <xf numFmtId="49" fontId="5" fillId="0" borderId="30" xfId="14" applyNumberFormat="1" applyFont="1" applyBorder="1" applyAlignment="1">
      <alignment horizontal="center" vertical="center"/>
    </xf>
    <xf numFmtId="49" fontId="5" fillId="0" borderId="31" xfId="14" applyNumberFormat="1" applyFont="1" applyBorder="1" applyAlignment="1">
      <alignment horizontal="center" vertical="center"/>
    </xf>
    <xf numFmtId="49" fontId="8" fillId="0" borderId="32" xfId="1" applyNumberFormat="1" applyFont="1" applyBorder="1" applyAlignment="1">
      <alignment horizontal="center" vertical="center"/>
    </xf>
    <xf numFmtId="49" fontId="5" fillId="0" borderId="29" xfId="14" applyNumberFormat="1" applyFont="1" applyBorder="1" applyAlignment="1">
      <alignment horizontal="center" vertical="center"/>
    </xf>
    <xf numFmtId="49" fontId="8" fillId="0" borderId="33" xfId="1" applyNumberFormat="1" applyFont="1" applyBorder="1" applyAlignment="1">
      <alignment horizontal="center" vertical="center"/>
    </xf>
    <xf numFmtId="166" fontId="5" fillId="0" borderId="17" xfId="1" applyNumberFormat="1" applyFont="1" applyBorder="1" applyAlignment="1">
      <alignment horizontal="center"/>
    </xf>
    <xf numFmtId="166" fontId="5" fillId="0" borderId="5" xfId="1" applyNumberFormat="1" applyFont="1" applyBorder="1" applyAlignment="1">
      <alignment horizontal="center"/>
    </xf>
    <xf numFmtId="166" fontId="5" fillId="0" borderId="34" xfId="1" applyNumberFormat="1" applyFont="1" applyBorder="1" applyAlignment="1">
      <alignment horizontal="center"/>
    </xf>
    <xf numFmtId="166" fontId="5" fillId="0" borderId="19" xfId="1" applyNumberFormat="1" applyFont="1" applyBorder="1" applyAlignment="1">
      <alignment horizontal="center"/>
    </xf>
    <xf numFmtId="166" fontId="5" fillId="0" borderId="35" xfId="1" applyNumberFormat="1" applyFont="1" applyBorder="1" applyAlignment="1">
      <alignment horizontal="center"/>
    </xf>
    <xf numFmtId="0" fontId="6" fillId="0" borderId="21" xfId="2" applyBorder="1" applyAlignment="1">
      <alignment horizontal="right" vertical="center"/>
    </xf>
    <xf numFmtId="0" fontId="8" fillId="0" borderId="21" xfId="2" applyFont="1" applyBorder="1" applyAlignment="1">
      <alignment horizontal="right" vertical="center"/>
    </xf>
    <xf numFmtId="169" fontId="8" fillId="0" borderId="22" xfId="2" applyNumberFormat="1" applyFont="1" applyBorder="1" applyAlignment="1">
      <alignment horizontal="right" vertical="center"/>
    </xf>
    <xf numFmtId="0" fontId="6" fillId="0" borderId="4" xfId="2" applyBorder="1" applyAlignment="1">
      <alignment horizontal="right" vertical="center"/>
    </xf>
    <xf numFmtId="0" fontId="8" fillId="0" borderId="4" xfId="2" applyFont="1" applyBorder="1" applyAlignment="1">
      <alignment horizontal="right" vertical="center"/>
    </xf>
    <xf numFmtId="0" fontId="8" fillId="0" borderId="24" xfId="2" applyFont="1" applyBorder="1" applyAlignment="1">
      <alignment horizontal="right" vertical="center"/>
    </xf>
    <xf numFmtId="0" fontId="6" fillId="0" borderId="26" xfId="2" applyBorder="1" applyAlignment="1">
      <alignment horizontal="right" vertical="center"/>
    </xf>
    <xf numFmtId="0" fontId="8" fillId="0" borderId="26" xfId="2" applyFont="1" applyBorder="1" applyAlignment="1">
      <alignment horizontal="right" vertical="center"/>
    </xf>
    <xf numFmtId="0" fontId="8" fillId="0" borderId="27" xfId="2" applyFont="1" applyBorder="1" applyAlignment="1">
      <alignment horizontal="right" vertical="center"/>
    </xf>
    <xf numFmtId="0" fontId="11" fillId="3" borderId="20" xfId="13" applyFont="1" applyFill="1" applyBorder="1" applyAlignment="1">
      <alignment horizontal="center" vertical="center"/>
    </xf>
    <xf numFmtId="0" fontId="11" fillId="0" borderId="15" xfId="1" applyFont="1" applyBorder="1" applyAlignment="1">
      <alignment horizontal="center" vertical="center" wrapText="1"/>
    </xf>
    <xf numFmtId="0" fontId="6" fillId="0" borderId="23" xfId="2" applyFill="1" applyBorder="1" applyAlignment="1">
      <alignment horizontal="center" vertical="center"/>
    </xf>
    <xf numFmtId="0" fontId="11" fillId="0" borderId="6" xfId="14" applyFont="1" applyBorder="1" applyAlignment="1">
      <alignment horizontal="center" vertical="center" wrapText="1"/>
    </xf>
    <xf numFmtId="0" fontId="11" fillId="0" borderId="7" xfId="14" applyFont="1" applyBorder="1" applyAlignment="1">
      <alignment horizontal="center" vertical="center"/>
    </xf>
    <xf numFmtId="0" fontId="11" fillId="0" borderId="8" xfId="14" applyFont="1" applyBorder="1" applyAlignment="1">
      <alignment horizontal="center" vertical="center"/>
    </xf>
    <xf numFmtId="0" fontId="11" fillId="0" borderId="20" xfId="14" applyFont="1" applyBorder="1" applyAlignment="1">
      <alignment horizontal="center" vertical="center" wrapText="1"/>
    </xf>
    <xf numFmtId="0" fontId="11" fillId="0" borderId="6" xfId="14" applyFont="1" applyBorder="1" applyAlignment="1">
      <alignment horizontal="center" vertical="center"/>
    </xf>
    <xf numFmtId="1" fontId="16" fillId="0" borderId="18" xfId="15" applyNumberFormat="1" applyFont="1" applyFill="1" applyBorder="1" applyAlignment="1">
      <alignment horizontal="center"/>
    </xf>
    <xf numFmtId="167" fontId="5" fillId="0" borderId="17" xfId="1" applyNumberFormat="1" applyFont="1" applyBorder="1" applyAlignment="1">
      <alignment horizontal="center"/>
    </xf>
    <xf numFmtId="167" fontId="5" fillId="0" borderId="5" xfId="1" applyNumberFormat="1" applyFont="1" applyBorder="1" applyAlignment="1">
      <alignment horizontal="center"/>
    </xf>
    <xf numFmtId="167" fontId="5" fillId="0" borderId="34" xfId="1" applyNumberFormat="1" applyFont="1" applyBorder="1" applyAlignment="1">
      <alignment horizontal="center"/>
    </xf>
    <xf numFmtId="165" fontId="5" fillId="0" borderId="19" xfId="1" applyNumberFormat="1" applyFont="1" applyBorder="1" applyAlignment="1">
      <alignment horizontal="center"/>
    </xf>
    <xf numFmtId="165" fontId="5" fillId="0" borderId="34" xfId="1" applyNumberFormat="1" applyFont="1" applyBorder="1" applyAlignment="1">
      <alignment horizontal="center"/>
    </xf>
    <xf numFmtId="165" fontId="5" fillId="0" borderId="35" xfId="1" applyNumberFormat="1" applyFont="1" applyBorder="1" applyAlignment="1">
      <alignment horizontal="center"/>
    </xf>
    <xf numFmtId="2" fontId="5" fillId="0" borderId="17" xfId="1" applyNumberFormat="1" applyFont="1" applyBorder="1" applyAlignment="1">
      <alignment horizontal="center"/>
    </xf>
    <xf numFmtId="167" fontId="5" fillId="0" borderId="19" xfId="1" applyNumberFormat="1" applyFont="1" applyBorder="1" applyAlignment="1">
      <alignment horizontal="center"/>
    </xf>
    <xf numFmtId="167" fontId="5" fillId="0" borderId="35" xfId="1" applyNumberFormat="1" applyFont="1" applyBorder="1" applyAlignment="1">
      <alignment horizontal="center"/>
    </xf>
    <xf numFmtId="49" fontId="11" fillId="0" borderId="28" xfId="14" applyNumberFormat="1" applyFont="1" applyFill="1" applyBorder="1" applyAlignment="1">
      <alignment horizontal="center" vertical="center" wrapText="1"/>
    </xf>
    <xf numFmtId="49" fontId="5" fillId="0" borderId="29" xfId="1" applyNumberFormat="1" applyFont="1" applyBorder="1" applyAlignment="1">
      <alignment horizontal="center" vertical="center" wrapText="1"/>
    </xf>
    <xf numFmtId="49" fontId="5" fillId="0" borderId="30" xfId="14" applyNumberFormat="1" applyFont="1" applyBorder="1" applyAlignment="1">
      <alignment horizontal="center" vertical="center"/>
    </xf>
    <xf numFmtId="49" fontId="5" fillId="0" borderId="31" xfId="14" applyNumberFormat="1" applyFont="1" applyBorder="1" applyAlignment="1">
      <alignment horizontal="center" vertical="center"/>
    </xf>
    <xf numFmtId="49" fontId="8" fillId="0" borderId="32" xfId="1" applyNumberFormat="1" applyFont="1" applyBorder="1" applyAlignment="1">
      <alignment horizontal="center" vertical="center"/>
    </xf>
    <xf numFmtId="49" fontId="5" fillId="0" borderId="29" xfId="14" applyNumberFormat="1" applyFont="1" applyBorder="1" applyAlignment="1">
      <alignment horizontal="center" vertical="center"/>
    </xf>
    <xf numFmtId="49" fontId="8" fillId="0" borderId="33" xfId="1" applyNumberFormat="1" applyFont="1" applyBorder="1" applyAlignment="1">
      <alignment horizontal="center" vertical="center"/>
    </xf>
    <xf numFmtId="167" fontId="5" fillId="0" borderId="1" xfId="1" applyNumberFormat="1" applyBorder="1" applyAlignment="1">
      <alignment horizontal="center"/>
    </xf>
    <xf numFmtId="2" fontId="5" fillId="0" borderId="1" xfId="1" applyNumberForma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0" borderId="14" xfId="14" applyFont="1" applyBorder="1" applyAlignment="1">
      <alignment horizontal="center" vertical="center" wrapText="1"/>
    </xf>
    <xf numFmtId="0" fontId="11" fillId="0" borderId="15" xfId="14" applyFont="1" applyBorder="1" applyAlignment="1">
      <alignment horizontal="center" vertical="center"/>
    </xf>
    <xf numFmtId="0" fontId="11" fillId="0" borderId="16" xfId="14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2" borderId="20" xfId="13" applyFont="1" applyFill="1" applyBorder="1" applyAlignment="1">
      <alignment horizontal="center" vertical="center" wrapText="1"/>
    </xf>
    <xf numFmtId="0" fontId="6" fillId="0" borderId="23" xfId="2" applyBorder="1" applyAlignment="1">
      <alignment horizontal="center" vertical="center" wrapText="1"/>
    </xf>
    <xf numFmtId="0" fontId="6" fillId="0" borderId="25" xfId="2" applyBorder="1" applyAlignment="1">
      <alignment horizontal="center" vertical="center" wrapText="1"/>
    </xf>
    <xf numFmtId="0" fontId="8" fillId="0" borderId="6" xfId="14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 wrapText="1"/>
    </xf>
    <xf numFmtId="0" fontId="5" fillId="0" borderId="0" xfId="2" applyFont="1" applyBorder="1" applyAlignment="1">
      <alignment horizontal="center" vertical="center" wrapText="1"/>
    </xf>
    <xf numFmtId="0" fontId="5" fillId="0" borderId="11" xfId="2" applyFont="1" applyBorder="1" applyAlignment="1">
      <alignment horizontal="center" vertical="center" wrapText="1"/>
    </xf>
    <xf numFmtId="0" fontId="5" fillId="0" borderId="12" xfId="2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18">
    <cellStyle name="Komma 2" xfId="7" xr:uid="{B6401F65-0279-4926-8057-B69282FF6B53}"/>
    <cellStyle name="Komma 2 2" xfId="10" xr:uid="{459C7C92-EF2C-43E6-9548-A978FE7A6681}"/>
    <cellStyle name="Prozent 2" xfId="17" xr:uid="{F97F8926-9805-440D-B8A4-69A4B896D58B}"/>
    <cellStyle name="Standard" xfId="0" builtinId="0"/>
    <cellStyle name="Standard 2" xfId="4" xr:uid="{5DE36BC8-6A0A-4F19-8C06-B5DB3B42D8E2}"/>
    <cellStyle name="Standard 2 2" xfId="11" xr:uid="{E1FA0E4A-0462-41FB-9D5B-3C7FF5BB064A}"/>
    <cellStyle name="Standard 3" xfId="5" xr:uid="{EEC8E766-7D74-44D9-A761-9DDF1851FCAE}"/>
    <cellStyle name="Standard 4" xfId="6" xr:uid="{E35F3C73-D05A-44F0-AB6B-F830D5684BFC}"/>
    <cellStyle name="Standard 5" xfId="3" xr:uid="{04B4A886-6347-40FE-9D9B-F18AA8E81BC2}"/>
    <cellStyle name="Standard 6" xfId="8" xr:uid="{5D654731-7734-402D-98F6-F3E3B0B03B31}"/>
    <cellStyle name="Standard 6 2" xfId="16" xr:uid="{78033629-0503-4DFC-87F1-45FCCE0F5D44}"/>
    <cellStyle name="Standard 7" xfId="9" xr:uid="{FE030529-F1BA-4739-9D98-4C45FF75B2F1}"/>
    <cellStyle name="Standard 8" xfId="12" xr:uid="{BBF4C63A-C766-42DF-A671-2EB7BC0D7F34}"/>
    <cellStyle name="Standard 9" xfId="2" xr:uid="{C3127418-E851-4DBB-9A9B-B3506563E7F9}"/>
    <cellStyle name="Standard_D98-83" xfId="13" xr:uid="{EA74EA28-F2D2-4A5D-896D-882097FD9ACC}"/>
    <cellStyle name="Standard_POCO-AXM-5Q1_09-041" xfId="15" xr:uid="{1EC91995-F7D4-4C6A-A5B5-83CC1FBF975A}"/>
    <cellStyle name="Standard_T98-83a" xfId="14" xr:uid="{453E4381-F882-4C01-9A44-09A9D1AADD73}"/>
    <cellStyle name="Standard_T98-84" xfId="1" xr:uid="{3D98C2E4-CD21-4EDF-88A7-D69CB6136F47}"/>
  </cellStyles>
  <dxfs count="14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184150</xdr:rowOff>
    </xdr:from>
    <xdr:to>
      <xdr:col>8</xdr:col>
      <xdr:colOff>477520</xdr:colOff>
      <xdr:row>12</xdr:row>
      <xdr:rowOff>17780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64994A-4151-4731-BB4F-6C57EA05D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1475"/>
          <a:ext cx="5346700" cy="1901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175400</xdr:rowOff>
    </xdr:from>
    <xdr:to>
      <xdr:col>8</xdr:col>
      <xdr:colOff>457200</xdr:colOff>
      <xdr:row>23</xdr:row>
      <xdr:rowOff>55385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E6F014-E913-41DA-8BB7-4B4968200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35975"/>
          <a:ext cx="5334000" cy="1974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49175</xdr:rowOff>
    </xdr:from>
    <xdr:to>
      <xdr:col>8</xdr:col>
      <xdr:colOff>476250</xdr:colOff>
      <xdr:row>34</xdr:row>
      <xdr:rowOff>18695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B7E4C1-227B-437A-9997-9A04ED9C9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70325"/>
          <a:ext cx="5353050" cy="2041525"/>
        </a:xfrm>
        <a:prstGeom prst="rect">
          <a:avLst/>
        </a:prstGeom>
      </xdr:spPr>
    </xdr:pic>
    <xdr:clientData/>
  </xdr:twoCellAnchor>
  <xdr:twoCellAnchor editAs="oneCell">
    <xdr:from>
      <xdr:col>9</xdr:col>
      <xdr:colOff>243625</xdr:colOff>
      <xdr:row>20</xdr:row>
      <xdr:rowOff>151550</xdr:rowOff>
    </xdr:from>
    <xdr:to>
      <xdr:col>17</xdr:col>
      <xdr:colOff>403645</xdr:colOff>
      <xdr:row>34</xdr:row>
      <xdr:rowOff>96940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61ACC4-6F78-4959-8ABF-316BAD6B7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0025" y="3796450"/>
          <a:ext cx="5029200" cy="2552700"/>
        </a:xfrm>
        <a:prstGeom prst="rect">
          <a:avLst/>
        </a:prstGeom>
      </xdr:spPr>
    </xdr:pic>
    <xdr:clientData/>
  </xdr:twoCellAnchor>
  <xdr:twoCellAnchor editAs="oneCell">
    <xdr:from>
      <xdr:col>9</xdr:col>
      <xdr:colOff>206300</xdr:colOff>
      <xdr:row>1</xdr:row>
      <xdr:rowOff>171375</xdr:rowOff>
    </xdr:from>
    <xdr:to>
      <xdr:col>17</xdr:col>
      <xdr:colOff>358700</xdr:colOff>
      <xdr:row>15</xdr:row>
      <xdr:rowOff>98350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9C51C11-00E1-40BE-89C5-7E6EFB7F9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2700" y="425375"/>
          <a:ext cx="5029200" cy="25495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ling Stephan" id="{89A15E1B-2E12-4BC0-8743-43D9EB729A6B}" userId="S::Stephan.Kling@ait.ac.at::c93f8a74-c039-43aa-a4b4-b15fb024159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0-08-13T08:45:51.46" personId="{89A15E1B-2E12-4BC0-8743-43D9EB729A6B}" id="{F6735058-3083-46A6-A39A-78FFEB126C88}">
    <text>preparation time and temperature harmonisation not included</text>
  </threadedComment>
  <threadedComment ref="D8" dT="2020-08-13T09:22:14.47" personId="{89A15E1B-2E12-4BC0-8743-43D9EB729A6B}" id="{61060171-D874-46E9-8E39-48813DDB4E5A}">
    <text>had to be aborted because of available timeslots in Lab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3CBD-B8DE-411A-BCAF-B228EA6C400E}">
  <dimension ref="A1:AG72"/>
  <sheetViews>
    <sheetView tabSelected="1" zoomScaleNormal="100" workbookViewId="0">
      <selection activeCell="AJ17" sqref="AJ17"/>
    </sheetView>
  </sheetViews>
  <sheetFormatPr baseColWidth="10" defaultColWidth="8.88671875" defaultRowHeight="14.4" x14ac:dyDescent="0.3"/>
  <sheetData>
    <row r="1" spans="1:33" ht="19.95" customHeight="1" thickBot="1" x14ac:dyDescent="0.35">
      <c r="A1" s="113" t="s">
        <v>22</v>
      </c>
      <c r="B1" s="114"/>
      <c r="C1" s="114"/>
      <c r="D1" s="114"/>
      <c r="E1" s="114"/>
      <c r="F1" s="114"/>
      <c r="G1" s="114"/>
      <c r="H1" s="114"/>
      <c r="I1" s="115"/>
      <c r="J1" s="113" t="s">
        <v>23</v>
      </c>
      <c r="K1" s="114"/>
      <c r="L1" s="114"/>
      <c r="M1" s="114"/>
      <c r="N1" s="114"/>
      <c r="O1" s="114"/>
      <c r="P1" s="114"/>
      <c r="Q1" s="114"/>
      <c r="R1" s="115"/>
    </row>
    <row r="2" spans="1:33" x14ac:dyDescent="0.3">
      <c r="A2" s="4"/>
      <c r="B2" s="5"/>
      <c r="C2" s="5"/>
      <c r="D2" s="5"/>
      <c r="E2" s="5"/>
      <c r="F2" s="5"/>
      <c r="G2" s="5"/>
      <c r="H2" s="5"/>
      <c r="I2" s="6"/>
      <c r="J2" s="10"/>
      <c r="K2" s="11"/>
      <c r="L2" s="11"/>
      <c r="M2" s="11"/>
      <c r="N2" s="11"/>
      <c r="O2" s="11"/>
      <c r="P2" s="11"/>
      <c r="Q2" s="11"/>
      <c r="R2" s="12"/>
    </row>
    <row r="3" spans="1:33" x14ac:dyDescent="0.3">
      <c r="A3" s="4"/>
      <c r="B3" s="5"/>
      <c r="C3" s="5"/>
      <c r="D3" s="5"/>
      <c r="E3" s="5"/>
      <c r="F3" s="5"/>
      <c r="G3" s="5"/>
      <c r="H3" s="5"/>
      <c r="I3" s="6"/>
      <c r="J3" s="4"/>
      <c r="K3" s="5"/>
      <c r="L3" s="5"/>
      <c r="M3" s="5"/>
      <c r="N3" s="5"/>
      <c r="O3" s="5"/>
      <c r="P3" s="5"/>
      <c r="Q3" s="5"/>
      <c r="R3" s="6"/>
      <c r="U3" s="97"/>
      <c r="V3" s="97" t="s">
        <v>31</v>
      </c>
      <c r="W3" s="97"/>
      <c r="X3" s="97"/>
      <c r="Y3" s="97"/>
      <c r="Z3" s="97"/>
      <c r="AA3" s="97"/>
      <c r="AB3" s="97" t="s">
        <v>59</v>
      </c>
      <c r="AC3" s="97"/>
      <c r="AD3" s="97"/>
      <c r="AE3" s="97"/>
      <c r="AF3" s="97"/>
      <c r="AG3" s="97"/>
    </row>
    <row r="4" spans="1:33" x14ac:dyDescent="0.3">
      <c r="A4" s="4"/>
      <c r="B4" s="5"/>
      <c r="C4" s="5"/>
      <c r="D4" s="5"/>
      <c r="E4" s="5"/>
      <c r="F4" s="5"/>
      <c r="G4" s="5"/>
      <c r="H4" s="5"/>
      <c r="I4" s="6"/>
      <c r="J4" s="4"/>
      <c r="K4" s="5"/>
      <c r="L4" s="5"/>
      <c r="M4" s="5"/>
      <c r="N4" s="5"/>
      <c r="O4" s="5"/>
      <c r="P4" s="5"/>
      <c r="Q4" s="5"/>
      <c r="R4" s="6"/>
      <c r="U4" s="97"/>
      <c r="V4" s="97" t="s">
        <v>18</v>
      </c>
      <c r="W4" s="97"/>
      <c r="X4" s="97"/>
      <c r="Y4" s="97" t="s">
        <v>39</v>
      </c>
      <c r="Z4" s="97"/>
      <c r="AA4" s="97"/>
      <c r="AB4" s="97" t="s">
        <v>18</v>
      </c>
      <c r="AC4" s="97"/>
      <c r="AD4" s="97"/>
      <c r="AE4" s="97" t="s">
        <v>38</v>
      </c>
      <c r="AF4" s="97"/>
      <c r="AG4" s="97"/>
    </row>
    <row r="5" spans="1:33" x14ac:dyDescent="0.3">
      <c r="A5" s="4"/>
      <c r="B5" s="5"/>
      <c r="C5" s="5"/>
      <c r="D5" s="5"/>
      <c r="E5" s="5"/>
      <c r="F5" s="5"/>
      <c r="G5" s="5"/>
      <c r="H5" s="5"/>
      <c r="I5" s="6"/>
      <c r="J5" s="4"/>
      <c r="K5" s="5"/>
      <c r="L5" s="5"/>
      <c r="M5" s="5"/>
      <c r="N5" s="5"/>
      <c r="O5" s="5"/>
      <c r="P5" s="5"/>
      <c r="Q5" s="5"/>
      <c r="R5" s="6"/>
      <c r="U5" s="27" t="s">
        <v>61</v>
      </c>
      <c r="V5" s="27" t="s">
        <v>32</v>
      </c>
      <c r="W5" s="27" t="s">
        <v>34</v>
      </c>
      <c r="X5" s="27" t="s">
        <v>33</v>
      </c>
      <c r="Y5" s="27" t="s">
        <v>32</v>
      </c>
      <c r="Z5" s="27" t="s">
        <v>34</v>
      </c>
      <c r="AA5" s="27" t="s">
        <v>33</v>
      </c>
      <c r="AB5" s="27" t="s">
        <v>32</v>
      </c>
      <c r="AC5" s="27" t="s">
        <v>34</v>
      </c>
      <c r="AD5" s="27" t="s">
        <v>33</v>
      </c>
      <c r="AE5" s="27" t="s">
        <v>32</v>
      </c>
      <c r="AF5" s="27" t="s">
        <v>34</v>
      </c>
      <c r="AG5" s="27" t="s">
        <v>33</v>
      </c>
    </row>
    <row r="6" spans="1:33" x14ac:dyDescent="0.3">
      <c r="A6" s="4"/>
      <c r="B6" s="5"/>
      <c r="C6" s="5"/>
      <c r="D6" s="5"/>
      <c r="E6" s="5"/>
      <c r="F6" s="5"/>
      <c r="G6" s="5"/>
      <c r="H6" s="5"/>
      <c r="I6" s="6"/>
      <c r="J6" s="4"/>
      <c r="K6" s="5"/>
      <c r="L6" s="5"/>
      <c r="M6" s="5"/>
      <c r="N6" s="5"/>
      <c r="O6" s="5"/>
      <c r="P6" s="5"/>
      <c r="Q6" s="5"/>
      <c r="R6" s="6"/>
      <c r="U6" s="27" t="s">
        <v>13</v>
      </c>
      <c r="V6" s="27" t="s">
        <v>35</v>
      </c>
      <c r="W6" s="27" t="s">
        <v>37</v>
      </c>
      <c r="X6" s="27" t="s">
        <v>36</v>
      </c>
      <c r="Y6" s="27" t="s">
        <v>35</v>
      </c>
      <c r="Z6" s="27" t="s">
        <v>37</v>
      </c>
      <c r="AA6" s="27" t="s">
        <v>36</v>
      </c>
      <c r="AB6" s="27" t="s">
        <v>35</v>
      </c>
      <c r="AC6" s="27" t="s">
        <v>37</v>
      </c>
      <c r="AD6" s="27" t="s">
        <v>36</v>
      </c>
      <c r="AE6" s="27" t="s">
        <v>35</v>
      </c>
      <c r="AF6" s="27" t="s">
        <v>37</v>
      </c>
      <c r="AG6" s="27" t="s">
        <v>36</v>
      </c>
    </row>
    <row r="7" spans="1:33" x14ac:dyDescent="0.3">
      <c r="A7" s="4"/>
      <c r="B7" s="5"/>
      <c r="C7" s="5"/>
      <c r="D7" s="5"/>
      <c r="E7" s="5"/>
      <c r="F7" s="5"/>
      <c r="G7" s="5"/>
      <c r="H7" s="5"/>
      <c r="I7" s="6"/>
      <c r="J7" s="4"/>
      <c r="K7" s="5"/>
      <c r="L7" s="5"/>
      <c r="M7" s="5"/>
      <c r="N7" s="5"/>
      <c r="O7" s="5"/>
      <c r="P7" s="5"/>
      <c r="Q7" s="5"/>
      <c r="R7" s="6"/>
      <c r="U7" s="27">
        <v>-10</v>
      </c>
      <c r="V7" s="27">
        <v>0.88900000000000001</v>
      </c>
      <c r="W7" s="92">
        <v>0.38091849999999999</v>
      </c>
      <c r="X7" s="27">
        <v>1822</v>
      </c>
      <c r="Y7" s="25">
        <v>1.069508638501395</v>
      </c>
      <c r="Z7" s="92">
        <v>1.2435253333333331</v>
      </c>
      <c r="AA7" s="27">
        <v>1928</v>
      </c>
      <c r="AB7" s="26">
        <v>0.9134397153508399</v>
      </c>
      <c r="AC7" s="92">
        <v>0.34010666666666672</v>
      </c>
      <c r="AD7" s="27">
        <v>1942</v>
      </c>
      <c r="AE7" s="27" t="s">
        <v>60</v>
      </c>
      <c r="AF7" s="25">
        <v>0.50443366666666678</v>
      </c>
      <c r="AG7" s="13">
        <f>AD7+62.4</f>
        <v>2004.4</v>
      </c>
    </row>
    <row r="8" spans="1:33" x14ac:dyDescent="0.3">
      <c r="A8" s="4"/>
      <c r="B8" s="5"/>
      <c r="C8" s="5"/>
      <c r="D8" s="5"/>
      <c r="E8" s="5"/>
      <c r="F8" s="5"/>
      <c r="G8" s="5"/>
      <c r="H8" s="5"/>
      <c r="I8" s="6"/>
      <c r="J8" s="4"/>
      <c r="K8" s="5"/>
      <c r="L8" s="5"/>
      <c r="M8" s="5"/>
      <c r="N8" s="5"/>
      <c r="O8" s="5"/>
      <c r="P8" s="5"/>
      <c r="Q8" s="5"/>
      <c r="R8" s="6"/>
      <c r="U8" s="27">
        <v>0</v>
      </c>
      <c r="V8" s="27"/>
      <c r="W8" s="92">
        <v>0.378415</v>
      </c>
      <c r="X8" s="27">
        <v>1822</v>
      </c>
      <c r="Y8" s="25"/>
      <c r="Z8" s="92">
        <v>0.9787623333333334</v>
      </c>
      <c r="AA8" s="27">
        <v>1928</v>
      </c>
      <c r="AB8" s="26">
        <v>0.96608832305787529</v>
      </c>
      <c r="AC8" s="92">
        <v>0.3369516666666667</v>
      </c>
      <c r="AD8" s="27">
        <v>1942</v>
      </c>
      <c r="AE8" s="27" t="s">
        <v>60</v>
      </c>
      <c r="AF8" s="25">
        <v>0.48972199999999999</v>
      </c>
      <c r="AG8" s="13">
        <f t="shared" ref="AG8:AG16" si="0">AD8+62.4</f>
        <v>2004.4</v>
      </c>
    </row>
    <row r="9" spans="1:33" x14ac:dyDescent="0.3">
      <c r="A9" s="4"/>
      <c r="B9" s="5"/>
      <c r="C9" s="5"/>
      <c r="D9" s="5"/>
      <c r="E9" s="5"/>
      <c r="F9" s="5"/>
      <c r="G9" s="5"/>
      <c r="H9" s="5"/>
      <c r="I9" s="6"/>
      <c r="J9" s="4"/>
      <c r="K9" s="5"/>
      <c r="L9" s="5"/>
      <c r="M9" s="5"/>
      <c r="N9" s="5"/>
      <c r="O9" s="5"/>
      <c r="P9" s="5"/>
      <c r="Q9" s="5"/>
      <c r="R9" s="6"/>
      <c r="U9" s="27">
        <v>10</v>
      </c>
      <c r="V9" s="27">
        <v>0.94699999999999995</v>
      </c>
      <c r="W9" s="92">
        <v>0.37957400000000002</v>
      </c>
      <c r="X9" s="27">
        <v>1822</v>
      </c>
      <c r="Y9" s="25">
        <v>1.0945860358341368</v>
      </c>
      <c r="Z9" s="92">
        <v>0.95142199999999999</v>
      </c>
      <c r="AA9" s="27">
        <v>1928</v>
      </c>
      <c r="AB9" s="26">
        <v>0.9737414148091359</v>
      </c>
      <c r="AC9" s="92">
        <v>0.325104</v>
      </c>
      <c r="AD9" s="27">
        <v>1942</v>
      </c>
      <c r="AE9" s="27" t="s">
        <v>60</v>
      </c>
      <c r="AF9" s="25">
        <v>0.48328666666666664</v>
      </c>
      <c r="AG9" s="13">
        <f t="shared" si="0"/>
        <v>2004.4</v>
      </c>
    </row>
    <row r="10" spans="1:33" x14ac:dyDescent="0.3">
      <c r="A10" s="4"/>
      <c r="B10" s="5"/>
      <c r="C10" s="5"/>
      <c r="D10" s="5"/>
      <c r="E10" s="5"/>
      <c r="F10" s="5"/>
      <c r="G10" s="5"/>
      <c r="H10" s="5"/>
      <c r="I10" s="6"/>
      <c r="J10" s="4"/>
      <c r="K10" s="5"/>
      <c r="L10" s="5"/>
      <c r="M10" s="5"/>
      <c r="N10" s="5"/>
      <c r="O10" s="5"/>
      <c r="P10" s="5"/>
      <c r="Q10" s="5"/>
      <c r="R10" s="6"/>
      <c r="U10" s="27">
        <v>20</v>
      </c>
      <c r="V10" s="27">
        <v>0.94099999999999995</v>
      </c>
      <c r="W10" s="92">
        <v>0.38403966666666661</v>
      </c>
      <c r="X10" s="27">
        <v>1822</v>
      </c>
      <c r="Y10" s="25">
        <v>1.1517038350801734</v>
      </c>
      <c r="Z10" s="92">
        <v>0.93387233333333342</v>
      </c>
      <c r="AA10" s="27">
        <v>1928</v>
      </c>
      <c r="AB10" s="26">
        <v>1.0060909133654745</v>
      </c>
      <c r="AC10" s="92">
        <v>0.31623200000000001</v>
      </c>
      <c r="AD10" s="27">
        <v>1942</v>
      </c>
      <c r="AE10" s="27" t="s">
        <v>60</v>
      </c>
      <c r="AF10" s="25">
        <v>0.50170966666666672</v>
      </c>
      <c r="AG10" s="13">
        <f t="shared" si="0"/>
        <v>2004.4</v>
      </c>
    </row>
    <row r="11" spans="1:33" x14ac:dyDescent="0.3">
      <c r="A11" s="4"/>
      <c r="B11" s="5"/>
      <c r="C11" s="5"/>
      <c r="D11" s="5"/>
      <c r="E11" s="5"/>
      <c r="F11" s="5"/>
      <c r="G11" s="5"/>
      <c r="H11" s="5"/>
      <c r="I11" s="6"/>
      <c r="J11" s="4"/>
      <c r="K11" s="5"/>
      <c r="L11" s="5"/>
      <c r="M11" s="5"/>
      <c r="N11" s="5"/>
      <c r="O11" s="5"/>
      <c r="P11" s="5"/>
      <c r="Q11" s="5"/>
      <c r="R11" s="6"/>
      <c r="U11" s="27">
        <v>25</v>
      </c>
      <c r="V11" s="27">
        <v>0.96199999999999997</v>
      </c>
      <c r="W11" s="92">
        <v>0.38839699999999999</v>
      </c>
      <c r="X11" s="27">
        <v>1822</v>
      </c>
      <c r="Y11" s="25">
        <v>1.1004303456046101</v>
      </c>
      <c r="Z11" s="92">
        <v>0.96189533333333321</v>
      </c>
      <c r="AA11" s="27">
        <v>1928</v>
      </c>
      <c r="AB11" s="27" t="s">
        <v>7</v>
      </c>
      <c r="AC11" s="92">
        <v>0.31214433333333336</v>
      </c>
      <c r="AD11" s="27">
        <v>1942</v>
      </c>
      <c r="AE11" s="27" t="s">
        <v>60</v>
      </c>
      <c r="AF11" s="25">
        <v>0.50858200000000009</v>
      </c>
      <c r="AG11" s="13">
        <f t="shared" si="0"/>
        <v>2004.4</v>
      </c>
    </row>
    <row r="12" spans="1:33" x14ac:dyDescent="0.3">
      <c r="A12" s="4"/>
      <c r="B12" s="5"/>
      <c r="C12" s="5"/>
      <c r="D12" s="5"/>
      <c r="E12" s="5"/>
      <c r="F12" s="5"/>
      <c r="G12" s="5"/>
      <c r="H12" s="5"/>
      <c r="I12" s="6"/>
      <c r="J12" s="4"/>
      <c r="K12" s="5"/>
      <c r="L12" s="5"/>
      <c r="M12" s="5"/>
      <c r="N12" s="5"/>
      <c r="O12" s="5"/>
      <c r="P12" s="5"/>
      <c r="Q12" s="5"/>
      <c r="R12" s="6"/>
      <c r="U12" s="27">
        <v>30</v>
      </c>
      <c r="V12" s="27">
        <v>0.98499999999999999</v>
      </c>
      <c r="W12" s="92">
        <v>0.38743599999999995</v>
      </c>
      <c r="X12" s="27">
        <v>1822</v>
      </c>
      <c r="Y12" s="25">
        <v>1.1156184848242632</v>
      </c>
      <c r="Z12" s="92">
        <v>0.97284566666666661</v>
      </c>
      <c r="AA12" s="27">
        <v>1928</v>
      </c>
      <c r="AB12" s="26">
        <v>1.0559638748529601</v>
      </c>
      <c r="AC12" s="92">
        <v>0.30684</v>
      </c>
      <c r="AD12" s="27">
        <v>1942</v>
      </c>
      <c r="AE12" s="27" t="s">
        <v>60</v>
      </c>
      <c r="AF12" s="25">
        <v>0.51537900000000003</v>
      </c>
      <c r="AG12" s="13">
        <f t="shared" si="0"/>
        <v>2004.4</v>
      </c>
    </row>
    <row r="13" spans="1:33" x14ac:dyDescent="0.3">
      <c r="A13" s="4"/>
      <c r="B13" s="5"/>
      <c r="C13" s="5"/>
      <c r="D13" s="5"/>
      <c r="E13" s="5"/>
      <c r="F13" s="5"/>
      <c r="G13" s="5"/>
      <c r="H13" s="5"/>
      <c r="I13" s="6"/>
      <c r="J13" s="4"/>
      <c r="K13" s="5"/>
      <c r="L13" s="5"/>
      <c r="M13" s="5"/>
      <c r="N13" s="5"/>
      <c r="O13" s="5"/>
      <c r="P13" s="5"/>
      <c r="Q13" s="5"/>
      <c r="R13" s="6"/>
      <c r="U13" s="27">
        <v>40</v>
      </c>
      <c r="V13" s="27">
        <v>1.0269999999999999</v>
      </c>
      <c r="W13" s="92">
        <v>0.38962066666666667</v>
      </c>
      <c r="X13" s="27">
        <v>1822</v>
      </c>
      <c r="Y13" s="25">
        <v>1.1342652684326433</v>
      </c>
      <c r="Z13" s="93">
        <v>1.0947713333333333</v>
      </c>
      <c r="AA13" s="27">
        <v>1928</v>
      </c>
      <c r="AB13" s="26">
        <v>1.0859650432919701</v>
      </c>
      <c r="AC13" s="92">
        <v>0.29911333333333334</v>
      </c>
      <c r="AD13" s="27">
        <v>1942</v>
      </c>
      <c r="AE13" s="27" t="s">
        <v>60</v>
      </c>
      <c r="AF13" s="25">
        <v>0.53622599999999998</v>
      </c>
      <c r="AG13" s="13">
        <f t="shared" si="0"/>
        <v>2004.4</v>
      </c>
    </row>
    <row r="14" spans="1:33" x14ac:dyDescent="0.3">
      <c r="A14" s="4"/>
      <c r="B14" s="5"/>
      <c r="C14" s="5"/>
      <c r="D14" s="5"/>
      <c r="E14" s="5"/>
      <c r="F14" s="5"/>
      <c r="G14" s="5"/>
      <c r="H14" s="5"/>
      <c r="I14" s="6"/>
      <c r="J14" s="4"/>
      <c r="K14" s="5"/>
      <c r="L14" s="5"/>
      <c r="M14" s="5"/>
      <c r="N14" s="5"/>
      <c r="O14" s="5"/>
      <c r="P14" s="5"/>
      <c r="Q14" s="5"/>
      <c r="R14" s="6"/>
      <c r="U14" s="27">
        <v>50</v>
      </c>
      <c r="V14" s="27">
        <v>1.0649999999999999</v>
      </c>
      <c r="W14" s="92">
        <v>0.391461</v>
      </c>
      <c r="X14" s="27">
        <v>1822</v>
      </c>
      <c r="Y14" s="25">
        <v>1.1387248468260001</v>
      </c>
      <c r="Z14" s="93">
        <v>1.1879670000000002</v>
      </c>
      <c r="AA14" s="27">
        <v>1928</v>
      </c>
      <c r="AB14" s="26">
        <v>1.0852035753938634</v>
      </c>
      <c r="AC14" s="92">
        <v>0.30578866666666665</v>
      </c>
      <c r="AD14" s="27">
        <v>1942</v>
      </c>
      <c r="AE14" s="27" t="s">
        <v>60</v>
      </c>
      <c r="AF14" s="25">
        <v>0.55234766666666679</v>
      </c>
      <c r="AG14" s="13">
        <f t="shared" si="0"/>
        <v>2004.4</v>
      </c>
    </row>
    <row r="15" spans="1:33" x14ac:dyDescent="0.3">
      <c r="A15" s="4"/>
      <c r="B15" s="5"/>
      <c r="C15" s="5"/>
      <c r="D15" s="5"/>
      <c r="E15" s="5"/>
      <c r="F15" s="5"/>
      <c r="G15" s="5"/>
      <c r="H15" s="5"/>
      <c r="I15" s="6"/>
      <c r="J15" s="4"/>
      <c r="K15" s="5"/>
      <c r="L15" s="5"/>
      <c r="M15" s="5"/>
      <c r="N15" s="5"/>
      <c r="O15" s="5"/>
      <c r="P15" s="5"/>
      <c r="Q15" s="5"/>
      <c r="R15" s="6"/>
      <c r="U15" s="27">
        <v>60</v>
      </c>
      <c r="V15" s="27">
        <v>1.038</v>
      </c>
      <c r="W15" s="92">
        <v>0.39292166666666661</v>
      </c>
      <c r="X15" s="27">
        <v>1822</v>
      </c>
      <c r="Y15" s="25">
        <v>1.1838443633886566</v>
      </c>
      <c r="Z15" s="93">
        <v>1.3050703333333333</v>
      </c>
      <c r="AA15" s="27">
        <v>1928</v>
      </c>
      <c r="AB15" s="26">
        <v>1.0717212251794432</v>
      </c>
      <c r="AC15" s="92">
        <v>0.30240733333333331</v>
      </c>
      <c r="AD15" s="27">
        <v>1942</v>
      </c>
      <c r="AE15" s="27" t="s">
        <v>60</v>
      </c>
      <c r="AF15" s="25">
        <v>0.56168200000000013</v>
      </c>
      <c r="AG15" s="13">
        <f t="shared" si="0"/>
        <v>2004.4</v>
      </c>
    </row>
    <row r="16" spans="1:33" x14ac:dyDescent="0.3">
      <c r="A16" s="4"/>
      <c r="B16" s="5"/>
      <c r="C16" s="5"/>
      <c r="D16" s="5"/>
      <c r="E16" s="5"/>
      <c r="F16" s="5"/>
      <c r="G16" s="5"/>
      <c r="H16" s="5"/>
      <c r="I16" s="6"/>
      <c r="J16" s="4"/>
      <c r="K16" s="5"/>
      <c r="L16" s="5"/>
      <c r="M16" s="5"/>
      <c r="N16" s="5"/>
      <c r="O16" s="5"/>
      <c r="P16" s="5"/>
      <c r="Q16" s="5"/>
      <c r="R16" s="6"/>
      <c r="U16" s="27">
        <v>70</v>
      </c>
      <c r="V16" s="27">
        <v>1.0609999999999999</v>
      </c>
      <c r="W16" s="92">
        <v>0.38725466666666669</v>
      </c>
      <c r="X16" s="27">
        <v>1822</v>
      </c>
      <c r="Y16" s="25">
        <v>1.2947826943862866</v>
      </c>
      <c r="Z16" s="93">
        <v>1.4583139999999999</v>
      </c>
      <c r="AA16" s="27">
        <v>1928</v>
      </c>
      <c r="AB16" s="26">
        <v>1.1061953568509433</v>
      </c>
      <c r="AC16" s="92">
        <v>0.29722733333333334</v>
      </c>
      <c r="AD16" s="27">
        <v>1942</v>
      </c>
      <c r="AE16" s="27" t="s">
        <v>60</v>
      </c>
      <c r="AF16" s="25">
        <v>0.56610366666666667</v>
      </c>
      <c r="AG16" s="13">
        <f t="shared" si="0"/>
        <v>2004.4</v>
      </c>
    </row>
    <row r="17" spans="1:18" x14ac:dyDescent="0.3">
      <c r="A17" s="4"/>
      <c r="B17" s="5"/>
      <c r="C17" s="5"/>
      <c r="D17" s="5"/>
      <c r="E17" s="5"/>
      <c r="F17" s="5"/>
      <c r="G17" s="5"/>
      <c r="H17" s="5"/>
      <c r="I17" s="6"/>
      <c r="J17" s="4"/>
      <c r="K17" s="5"/>
      <c r="L17" s="5"/>
      <c r="M17" s="5"/>
      <c r="N17" s="5"/>
      <c r="O17" s="5"/>
      <c r="P17" s="5"/>
      <c r="Q17" s="5"/>
      <c r="R17" s="6"/>
    </row>
    <row r="18" spans="1:18" ht="15" thickBot="1" x14ac:dyDescent="0.35">
      <c r="A18" s="4"/>
      <c r="B18" s="5"/>
      <c r="C18" s="5"/>
      <c r="D18" s="5"/>
      <c r="E18" s="5"/>
      <c r="F18" s="5"/>
      <c r="G18" s="5"/>
      <c r="H18" s="5"/>
      <c r="I18" s="6"/>
      <c r="J18" s="7"/>
      <c r="K18" s="8"/>
      <c r="L18" s="8"/>
      <c r="M18" s="8"/>
      <c r="N18" s="8"/>
      <c r="O18" s="8"/>
      <c r="P18" s="8"/>
      <c r="Q18" s="8"/>
      <c r="R18" s="9"/>
    </row>
    <row r="19" spans="1:18" x14ac:dyDescent="0.3">
      <c r="A19" s="4"/>
      <c r="B19" s="5"/>
      <c r="C19" s="5"/>
      <c r="D19" s="5"/>
      <c r="E19" s="5"/>
      <c r="F19" s="5"/>
      <c r="G19" s="5"/>
      <c r="H19" s="5"/>
      <c r="I19" s="6"/>
      <c r="J19" s="116" t="s">
        <v>24</v>
      </c>
      <c r="K19" s="117"/>
      <c r="L19" s="117"/>
      <c r="M19" s="117"/>
      <c r="N19" s="117"/>
      <c r="O19" s="117"/>
      <c r="P19" s="117"/>
      <c r="Q19" s="117"/>
      <c r="R19" s="118"/>
    </row>
    <row r="20" spans="1:18" ht="15" thickBot="1" x14ac:dyDescent="0.35">
      <c r="A20" s="4"/>
      <c r="B20" s="5"/>
      <c r="C20" s="5"/>
      <c r="D20" s="5"/>
      <c r="E20" s="5"/>
      <c r="F20" s="5"/>
      <c r="G20" s="5"/>
      <c r="H20" s="5"/>
      <c r="I20" s="6"/>
      <c r="J20" s="119"/>
      <c r="K20" s="120"/>
      <c r="L20" s="120"/>
      <c r="M20" s="120"/>
      <c r="N20" s="120"/>
      <c r="O20" s="120"/>
      <c r="P20" s="120"/>
      <c r="Q20" s="120"/>
      <c r="R20" s="121"/>
    </row>
    <row r="21" spans="1:18" x14ac:dyDescent="0.3">
      <c r="A21" s="4"/>
      <c r="B21" s="5"/>
      <c r="C21" s="5"/>
      <c r="D21" s="5"/>
      <c r="E21" s="5"/>
      <c r="F21" s="5"/>
      <c r="G21" s="5"/>
      <c r="H21" s="5"/>
      <c r="I21" s="6"/>
      <c r="J21" s="10"/>
      <c r="K21" s="11"/>
      <c r="L21" s="11"/>
      <c r="M21" s="11"/>
      <c r="N21" s="11"/>
      <c r="O21" s="11"/>
      <c r="P21" s="11"/>
      <c r="Q21" s="11"/>
      <c r="R21" s="12"/>
    </row>
    <row r="22" spans="1:18" x14ac:dyDescent="0.3">
      <c r="A22" s="4"/>
      <c r="B22" s="5"/>
      <c r="C22" s="5"/>
      <c r="D22" s="5"/>
      <c r="E22" s="5"/>
      <c r="F22" s="5"/>
      <c r="G22" s="5"/>
      <c r="H22" s="5"/>
      <c r="I22" s="6"/>
      <c r="J22" s="4"/>
      <c r="K22" s="5"/>
      <c r="L22" s="5"/>
      <c r="M22" s="5"/>
      <c r="N22" s="5"/>
      <c r="O22" s="5"/>
      <c r="P22" s="5"/>
      <c r="Q22" s="5"/>
      <c r="R22" s="6"/>
    </row>
    <row r="23" spans="1:18" x14ac:dyDescent="0.3">
      <c r="A23" s="4"/>
      <c r="B23" s="5"/>
      <c r="C23" s="5"/>
      <c r="D23" s="5"/>
      <c r="E23" s="5"/>
      <c r="F23" s="5"/>
      <c r="G23" s="5"/>
      <c r="H23" s="5"/>
      <c r="I23" s="6"/>
      <c r="J23" s="4"/>
      <c r="K23" s="5"/>
      <c r="L23" s="5"/>
      <c r="M23" s="5"/>
      <c r="N23" s="5"/>
      <c r="O23" s="5"/>
      <c r="P23" s="5"/>
      <c r="Q23" s="5"/>
      <c r="R23" s="6"/>
    </row>
    <row r="24" spans="1:18" x14ac:dyDescent="0.3">
      <c r="A24" s="4"/>
      <c r="B24" s="5"/>
      <c r="C24" s="5"/>
      <c r="D24" s="5"/>
      <c r="E24" s="5"/>
      <c r="F24" s="5"/>
      <c r="G24" s="5"/>
      <c r="H24" s="5"/>
      <c r="I24" s="6"/>
      <c r="J24" s="4"/>
      <c r="K24" s="5"/>
      <c r="L24" s="5"/>
      <c r="M24" s="5"/>
      <c r="N24" s="5"/>
      <c r="O24" s="5"/>
      <c r="P24" s="5"/>
      <c r="Q24" s="5"/>
      <c r="R24" s="6"/>
    </row>
    <row r="25" spans="1:18" x14ac:dyDescent="0.3">
      <c r="A25" s="4"/>
      <c r="B25" s="5"/>
      <c r="C25" s="5"/>
      <c r="D25" s="5"/>
      <c r="E25" s="5"/>
      <c r="F25" s="5"/>
      <c r="G25" s="5"/>
      <c r="H25" s="5"/>
      <c r="I25" s="6"/>
      <c r="J25" s="4"/>
      <c r="K25" s="5"/>
      <c r="L25" s="5"/>
      <c r="M25" s="5"/>
      <c r="N25" s="5"/>
      <c r="O25" s="5"/>
      <c r="P25" s="5"/>
      <c r="Q25" s="5"/>
      <c r="R25" s="6"/>
    </row>
    <row r="26" spans="1:18" x14ac:dyDescent="0.3">
      <c r="A26" s="4"/>
      <c r="B26" s="5"/>
      <c r="C26" s="5"/>
      <c r="D26" s="5"/>
      <c r="E26" s="5"/>
      <c r="F26" s="5"/>
      <c r="G26" s="5"/>
      <c r="H26" s="5"/>
      <c r="I26" s="6"/>
      <c r="J26" s="4"/>
      <c r="K26" s="5"/>
      <c r="L26" s="5"/>
      <c r="M26" s="5"/>
      <c r="N26" s="5"/>
      <c r="O26" s="5"/>
      <c r="P26" s="5"/>
      <c r="Q26" s="5"/>
      <c r="R26" s="6"/>
    </row>
    <row r="27" spans="1:18" x14ac:dyDescent="0.3">
      <c r="A27" s="4"/>
      <c r="B27" s="5"/>
      <c r="C27" s="5"/>
      <c r="D27" s="5"/>
      <c r="E27" s="5"/>
      <c r="F27" s="5"/>
      <c r="G27" s="5"/>
      <c r="H27" s="5"/>
      <c r="I27" s="6"/>
      <c r="J27" s="4"/>
      <c r="K27" s="5"/>
      <c r="L27" s="5"/>
      <c r="M27" s="5"/>
      <c r="N27" s="5"/>
      <c r="O27" s="5"/>
      <c r="P27" s="5"/>
      <c r="Q27" s="5"/>
      <c r="R27" s="6"/>
    </row>
    <row r="28" spans="1:18" x14ac:dyDescent="0.3">
      <c r="A28" s="4"/>
      <c r="B28" s="5"/>
      <c r="C28" s="5"/>
      <c r="D28" s="5"/>
      <c r="E28" s="5"/>
      <c r="F28" s="5"/>
      <c r="G28" s="5"/>
      <c r="H28" s="5"/>
      <c r="I28" s="6"/>
      <c r="J28" s="4"/>
      <c r="K28" s="5"/>
      <c r="L28" s="5"/>
      <c r="M28" s="5"/>
      <c r="N28" s="5"/>
      <c r="O28" s="5"/>
      <c r="P28" s="5"/>
      <c r="Q28" s="5"/>
      <c r="R28" s="6"/>
    </row>
    <row r="29" spans="1:18" x14ac:dyDescent="0.3">
      <c r="A29" s="4"/>
      <c r="B29" s="5"/>
      <c r="C29" s="5"/>
      <c r="D29" s="5"/>
      <c r="E29" s="5"/>
      <c r="F29" s="5"/>
      <c r="G29" s="5"/>
      <c r="H29" s="5"/>
      <c r="I29" s="6"/>
      <c r="J29" s="4"/>
      <c r="K29" s="5"/>
      <c r="L29" s="5"/>
      <c r="M29" s="5"/>
      <c r="N29" s="5"/>
      <c r="O29" s="5"/>
      <c r="P29" s="5"/>
      <c r="Q29" s="5"/>
      <c r="R29" s="6"/>
    </row>
    <row r="30" spans="1:18" x14ac:dyDescent="0.3">
      <c r="A30" s="4"/>
      <c r="B30" s="5"/>
      <c r="C30" s="5"/>
      <c r="D30" s="5"/>
      <c r="E30" s="5"/>
      <c r="F30" s="5"/>
      <c r="G30" s="5"/>
      <c r="H30" s="5"/>
      <c r="I30" s="6"/>
      <c r="J30" s="4"/>
      <c r="K30" s="5"/>
      <c r="L30" s="5"/>
      <c r="M30" s="5"/>
      <c r="N30" s="5"/>
      <c r="O30" s="5"/>
      <c r="P30" s="5"/>
      <c r="Q30" s="5"/>
      <c r="R30" s="6"/>
    </row>
    <row r="31" spans="1:18" x14ac:dyDescent="0.3">
      <c r="A31" s="4"/>
      <c r="B31" s="5"/>
      <c r="C31" s="5"/>
      <c r="D31" s="5"/>
      <c r="E31" s="5"/>
      <c r="F31" s="5"/>
      <c r="G31" s="5"/>
      <c r="H31" s="5"/>
      <c r="I31" s="6"/>
      <c r="J31" s="4"/>
      <c r="K31" s="5"/>
      <c r="L31" s="5"/>
      <c r="M31" s="5"/>
      <c r="N31" s="5"/>
      <c r="O31" s="5"/>
      <c r="P31" s="5"/>
      <c r="Q31" s="5"/>
      <c r="R31" s="6"/>
    </row>
    <row r="32" spans="1:18" x14ac:dyDescent="0.3">
      <c r="A32" s="4"/>
      <c r="B32" s="5"/>
      <c r="C32" s="5"/>
      <c r="D32" s="5"/>
      <c r="E32" s="5"/>
      <c r="F32" s="5"/>
      <c r="G32" s="5"/>
      <c r="H32" s="5"/>
      <c r="I32" s="6"/>
      <c r="J32" s="4"/>
      <c r="K32" s="5"/>
      <c r="L32" s="5"/>
      <c r="M32" s="5"/>
      <c r="N32" s="5"/>
      <c r="O32" s="5"/>
      <c r="P32" s="5"/>
      <c r="Q32" s="5"/>
      <c r="R32" s="6"/>
    </row>
    <row r="33" spans="1:18" x14ac:dyDescent="0.3">
      <c r="A33" s="4"/>
      <c r="B33" s="5"/>
      <c r="C33" s="5"/>
      <c r="D33" s="5"/>
      <c r="E33" s="5"/>
      <c r="F33" s="5"/>
      <c r="G33" s="5"/>
      <c r="H33" s="5"/>
      <c r="I33" s="6"/>
      <c r="J33" s="4"/>
      <c r="K33" s="5"/>
      <c r="L33" s="5"/>
      <c r="M33" s="5"/>
      <c r="N33" s="5"/>
      <c r="O33" s="5"/>
      <c r="P33" s="5"/>
      <c r="Q33" s="5"/>
      <c r="R33" s="6"/>
    </row>
    <row r="34" spans="1:18" x14ac:dyDescent="0.3">
      <c r="A34" s="4"/>
      <c r="B34" s="5"/>
      <c r="C34" s="5"/>
      <c r="D34" s="5"/>
      <c r="E34" s="5"/>
      <c r="F34" s="5"/>
      <c r="G34" s="5"/>
      <c r="H34" s="5"/>
      <c r="I34" s="6"/>
      <c r="J34" s="4"/>
      <c r="K34" s="5"/>
      <c r="L34" s="5"/>
      <c r="M34" s="5"/>
      <c r="N34" s="5"/>
      <c r="O34" s="5"/>
      <c r="P34" s="5"/>
      <c r="Q34" s="5"/>
      <c r="R34" s="6"/>
    </row>
    <row r="35" spans="1:18" ht="15" thickBot="1" x14ac:dyDescent="0.35">
      <c r="A35" s="7"/>
      <c r="B35" s="8"/>
      <c r="C35" s="8"/>
      <c r="D35" s="8"/>
      <c r="E35" s="8"/>
      <c r="F35" s="8"/>
      <c r="G35" s="8"/>
      <c r="H35" s="8"/>
      <c r="I35" s="9"/>
      <c r="J35" s="7"/>
      <c r="K35" s="8"/>
      <c r="L35" s="8"/>
      <c r="M35" s="8"/>
      <c r="N35" s="8"/>
      <c r="O35" s="8"/>
      <c r="P35" s="8"/>
      <c r="Q35" s="8"/>
      <c r="R35" s="9"/>
    </row>
    <row r="39" spans="1:18" ht="15" thickBot="1" x14ac:dyDescent="0.35"/>
    <row r="40" spans="1:18" ht="15" x14ac:dyDescent="0.3">
      <c r="B40" s="104" t="s">
        <v>40</v>
      </c>
      <c r="C40" s="107" t="s">
        <v>41</v>
      </c>
      <c r="D40" s="108"/>
      <c r="E40" s="108"/>
      <c r="F40" s="108"/>
      <c r="G40" s="28"/>
      <c r="H40" s="29" t="s">
        <v>42</v>
      </c>
      <c r="I40" s="30">
        <v>44133</v>
      </c>
    </row>
    <row r="41" spans="1:18" ht="15" x14ac:dyDescent="0.3">
      <c r="B41" s="105"/>
      <c r="C41" s="109"/>
      <c r="D41" s="110"/>
      <c r="E41" s="110"/>
      <c r="F41" s="110"/>
      <c r="G41" s="31"/>
      <c r="H41" s="32" t="s">
        <v>43</v>
      </c>
      <c r="I41" s="33" t="s">
        <v>44</v>
      </c>
    </row>
    <row r="42" spans="1:18" ht="15.6" thickBot="1" x14ac:dyDescent="0.35">
      <c r="B42" s="106"/>
      <c r="C42" s="111"/>
      <c r="D42" s="112"/>
      <c r="E42" s="112"/>
      <c r="F42" s="112"/>
      <c r="G42" s="34"/>
      <c r="H42" s="35" t="s">
        <v>45</v>
      </c>
      <c r="I42" s="36" t="s">
        <v>46</v>
      </c>
    </row>
    <row r="43" spans="1:18" ht="63" thickBot="1" x14ac:dyDescent="0.35">
      <c r="B43" s="37"/>
      <c r="C43" s="98" t="s">
        <v>47</v>
      </c>
      <c r="D43" s="99"/>
      <c r="E43" s="100"/>
      <c r="F43" s="38" t="s">
        <v>48</v>
      </c>
      <c r="G43" s="101" t="s">
        <v>49</v>
      </c>
      <c r="H43" s="102"/>
      <c r="I43" s="103"/>
    </row>
    <row r="44" spans="1:18" ht="47.4" thickBot="1" x14ac:dyDescent="0.35">
      <c r="B44" s="39"/>
      <c r="C44" s="40" t="s">
        <v>40</v>
      </c>
      <c r="D44" s="41" t="s">
        <v>40</v>
      </c>
      <c r="E44" s="42" t="s">
        <v>40</v>
      </c>
      <c r="F44" s="43" t="s">
        <v>40</v>
      </c>
      <c r="G44" s="44"/>
      <c r="H44" s="41"/>
      <c r="I44" s="42"/>
    </row>
    <row r="45" spans="1:18" ht="16.8" thickTop="1" thickBot="1" x14ac:dyDescent="0.35">
      <c r="B45" s="46" t="s">
        <v>50</v>
      </c>
      <c r="C45" s="47" t="s">
        <v>51</v>
      </c>
      <c r="D45" s="48" t="s">
        <v>52</v>
      </c>
      <c r="E45" s="49" t="s">
        <v>53</v>
      </c>
      <c r="F45" s="50" t="s">
        <v>54</v>
      </c>
      <c r="G45" s="51" t="s">
        <v>55</v>
      </c>
      <c r="H45" s="49" t="s">
        <v>56</v>
      </c>
      <c r="I45" s="52" t="s">
        <v>57</v>
      </c>
    </row>
    <row r="46" spans="1:18" ht="15" thickTop="1" x14ac:dyDescent="0.3">
      <c r="B46" s="45">
        <v>-10</v>
      </c>
      <c r="C46" s="53">
        <v>0.52631300000000003</v>
      </c>
      <c r="D46" s="54">
        <v>0.48087600000000003</v>
      </c>
      <c r="E46" s="55">
        <v>0.50611200000000001</v>
      </c>
      <c r="F46" s="53">
        <v>0.50443366666666678</v>
      </c>
      <c r="G46" s="56">
        <v>2.4024968156249851E-3</v>
      </c>
      <c r="H46" s="55">
        <v>2.2764947712071149E-2</v>
      </c>
      <c r="I46" s="57">
        <v>4.5782740646773061E-2</v>
      </c>
    </row>
    <row r="47" spans="1:18" x14ac:dyDescent="0.3">
      <c r="B47" s="45">
        <v>0</v>
      </c>
      <c r="C47" s="53">
        <v>0.498691</v>
      </c>
      <c r="D47" s="54">
        <v>0.47324300000000002</v>
      </c>
      <c r="E47" s="55">
        <v>0.49723200000000001</v>
      </c>
      <c r="F47" s="53">
        <v>0.48972199999999999</v>
      </c>
      <c r="G47" s="56">
        <v>6.0357098932224034E-3</v>
      </c>
      <c r="H47" s="55">
        <v>1.4289865324767746E-2</v>
      </c>
      <c r="I47" s="57">
        <v>3.1024509337950368E-2</v>
      </c>
    </row>
    <row r="48" spans="1:18" x14ac:dyDescent="0.3">
      <c r="B48" s="45">
        <v>10</v>
      </c>
      <c r="C48" s="53">
        <v>0.50542299999999996</v>
      </c>
      <c r="D48" s="54">
        <v>0.45997900000000003</v>
      </c>
      <c r="E48" s="55">
        <v>0.484458</v>
      </c>
      <c r="F48" s="53">
        <v>0.48328666666666664</v>
      </c>
      <c r="G48" s="56">
        <v>8.3598568848457459E-3</v>
      </c>
      <c r="H48" s="55">
        <v>2.2744632341133407E-2</v>
      </c>
      <c r="I48" s="57">
        <v>4.8464647217056456E-2</v>
      </c>
    </row>
    <row r="49" spans="2:9" x14ac:dyDescent="0.3">
      <c r="B49" s="45">
        <v>20</v>
      </c>
      <c r="C49" s="53">
        <v>0.53256599999999998</v>
      </c>
      <c r="D49" s="54">
        <v>0.47445399999999999</v>
      </c>
      <c r="E49" s="55">
        <v>0.49810900000000002</v>
      </c>
      <c r="F49" s="53">
        <v>0.50170966666666672</v>
      </c>
      <c r="G49" s="56">
        <v>7.516729575235301E-3</v>
      </c>
      <c r="H49" s="55">
        <v>2.9222846136769998E-2</v>
      </c>
      <c r="I49" s="57">
        <v>6.0348188368518581E-2</v>
      </c>
    </row>
    <row r="50" spans="2:9" x14ac:dyDescent="0.3">
      <c r="B50" s="45">
        <v>25</v>
      </c>
      <c r="C50" s="53">
        <v>0.543956</v>
      </c>
      <c r="D50" s="54">
        <v>0.47920600000000002</v>
      </c>
      <c r="E50" s="55">
        <v>0.50258400000000003</v>
      </c>
      <c r="F50" s="53">
        <v>0.50858200000000009</v>
      </c>
      <c r="G50" s="56">
        <v>1.4324843928084968E-3</v>
      </c>
      <c r="H50" s="55">
        <v>3.2789062627650689E-2</v>
      </c>
      <c r="I50" s="57">
        <v>6.5640677617941734E-2</v>
      </c>
    </row>
    <row r="51" spans="2:9" x14ac:dyDescent="0.3">
      <c r="B51" s="45">
        <v>30</v>
      </c>
      <c r="C51" s="53">
        <v>0.55318100000000003</v>
      </c>
      <c r="D51" s="54">
        <v>0.48545500000000003</v>
      </c>
      <c r="E51" s="55">
        <v>0.50750099999999998</v>
      </c>
      <c r="F51" s="53">
        <v>0.51537900000000003</v>
      </c>
      <c r="G51" s="56">
        <v>4.7502180905761573E-3</v>
      </c>
      <c r="H51" s="55">
        <v>3.454344991456413E-2</v>
      </c>
      <c r="I51" s="57">
        <v>6.9737063428510881E-2</v>
      </c>
    </row>
    <row r="52" spans="2:9" x14ac:dyDescent="0.3">
      <c r="B52" s="45">
        <v>40</v>
      </c>
      <c r="C52" s="53">
        <v>0.58182199999999995</v>
      </c>
      <c r="D52" s="54">
        <v>0.50325900000000001</v>
      </c>
      <c r="E52" s="55">
        <v>0.52359699999999998</v>
      </c>
      <c r="F52" s="53">
        <v>0.53622599999999998</v>
      </c>
      <c r="G52" s="56">
        <v>3.5957715687824853E-3</v>
      </c>
      <c r="H52" s="55">
        <v>4.0775666432322076E-2</v>
      </c>
      <c r="I52" s="57">
        <v>8.1867809209111284E-2</v>
      </c>
    </row>
    <row r="53" spans="2:9" x14ac:dyDescent="0.3">
      <c r="B53" s="45">
        <v>50</v>
      </c>
      <c r="C53" s="53">
        <v>0.59563100000000002</v>
      </c>
      <c r="D53" s="54">
        <v>0.52193900000000004</v>
      </c>
      <c r="E53" s="55">
        <v>0.53947299999999998</v>
      </c>
      <c r="F53" s="53">
        <v>0.55234766666666679</v>
      </c>
      <c r="G53" s="56">
        <v>6.8753703964609192E-3</v>
      </c>
      <c r="H53" s="55">
        <v>3.8496045216792507E-2</v>
      </c>
      <c r="I53" s="57">
        <v>7.8210388451199098E-2</v>
      </c>
    </row>
    <row r="54" spans="2:9" x14ac:dyDescent="0.3">
      <c r="B54" s="45">
        <v>60</v>
      </c>
      <c r="C54" s="53">
        <v>0.60153999999999996</v>
      </c>
      <c r="D54" s="54">
        <v>0.53462200000000004</v>
      </c>
      <c r="E54" s="55">
        <v>0.54888400000000004</v>
      </c>
      <c r="F54" s="53">
        <v>0.56168200000000013</v>
      </c>
      <c r="G54" s="56">
        <v>8.7495259210307701E-3</v>
      </c>
      <c r="H54" s="55">
        <v>3.5246932972955204E-2</v>
      </c>
      <c r="I54" s="57">
        <v>7.2633339117592163E-2</v>
      </c>
    </row>
    <row r="55" spans="2:9" x14ac:dyDescent="0.3">
      <c r="B55" s="45">
        <v>70</v>
      </c>
      <c r="C55" s="53">
        <v>0.59956600000000004</v>
      </c>
      <c r="D55" s="54">
        <v>0.54412700000000003</v>
      </c>
      <c r="E55" s="55">
        <v>0.55461800000000006</v>
      </c>
      <c r="F55" s="53">
        <v>0.56610366666666667</v>
      </c>
      <c r="G55" s="56">
        <v>1.5106955445551573E-2</v>
      </c>
      <c r="H55" s="55">
        <v>2.9450145743838578E-2</v>
      </c>
      <c r="I55" s="57">
        <v>6.6197618904828101E-2</v>
      </c>
    </row>
    <row r="56" spans="2:9" ht="15" thickBot="1" x14ac:dyDescent="0.35"/>
    <row r="57" spans="2:9" ht="15" x14ac:dyDescent="0.3">
      <c r="B57" s="104" t="s">
        <v>58</v>
      </c>
      <c r="C57" s="107" t="s">
        <v>41</v>
      </c>
      <c r="D57" s="108"/>
      <c r="E57" s="108"/>
      <c r="F57" s="108"/>
      <c r="G57" s="58"/>
      <c r="H57" s="59" t="s">
        <v>42</v>
      </c>
      <c r="I57" s="60">
        <v>44207</v>
      </c>
    </row>
    <row r="58" spans="2:9" ht="15" x14ac:dyDescent="0.3">
      <c r="B58" s="105"/>
      <c r="C58" s="109"/>
      <c r="D58" s="110"/>
      <c r="E58" s="110"/>
      <c r="F58" s="110"/>
      <c r="G58" s="61"/>
      <c r="H58" s="62" t="s">
        <v>43</v>
      </c>
      <c r="I58" s="63" t="s">
        <v>44</v>
      </c>
    </row>
    <row r="59" spans="2:9" ht="15.6" thickBot="1" x14ac:dyDescent="0.35">
      <c r="B59" s="106"/>
      <c r="C59" s="111"/>
      <c r="D59" s="112"/>
      <c r="E59" s="112"/>
      <c r="F59" s="112"/>
      <c r="G59" s="64"/>
      <c r="H59" s="65" t="s">
        <v>45</v>
      </c>
      <c r="I59" s="66" t="s">
        <v>46</v>
      </c>
    </row>
    <row r="60" spans="2:9" ht="63" thickBot="1" x14ac:dyDescent="0.35">
      <c r="B60" s="67"/>
      <c r="C60" s="98" t="s">
        <v>47</v>
      </c>
      <c r="D60" s="99"/>
      <c r="E60" s="100"/>
      <c r="F60" s="68" t="s">
        <v>48</v>
      </c>
      <c r="G60" s="101" t="s">
        <v>49</v>
      </c>
      <c r="H60" s="102"/>
      <c r="I60" s="103"/>
    </row>
    <row r="61" spans="2:9" ht="47.4" thickBot="1" x14ac:dyDescent="0.35">
      <c r="B61" s="69"/>
      <c r="C61" s="70" t="s">
        <v>58</v>
      </c>
      <c r="D61" s="71" t="s">
        <v>58</v>
      </c>
      <c r="E61" s="72" t="s">
        <v>58</v>
      </c>
      <c r="F61" s="73" t="s">
        <v>58</v>
      </c>
      <c r="G61" s="74"/>
      <c r="H61" s="71"/>
      <c r="I61" s="72"/>
    </row>
    <row r="62" spans="2:9" ht="16.8" thickTop="1" thickBot="1" x14ac:dyDescent="0.35">
      <c r="B62" s="85" t="s">
        <v>50</v>
      </c>
      <c r="C62" s="86" t="s">
        <v>51</v>
      </c>
      <c r="D62" s="87" t="s">
        <v>52</v>
      </c>
      <c r="E62" s="88" t="s">
        <v>53</v>
      </c>
      <c r="F62" s="89" t="s">
        <v>54</v>
      </c>
      <c r="G62" s="90" t="s">
        <v>55</v>
      </c>
      <c r="H62" s="88" t="s">
        <v>56</v>
      </c>
      <c r="I62" s="91" t="s">
        <v>57</v>
      </c>
    </row>
    <row r="63" spans="2:9" ht="15" thickTop="1" x14ac:dyDescent="0.3">
      <c r="B63" s="75">
        <v>-10</v>
      </c>
      <c r="C63" s="76">
        <v>0.82502200000000003</v>
      </c>
      <c r="D63" s="77">
        <v>0.77461100000000005</v>
      </c>
      <c r="E63" s="78">
        <v>0.96720399999999995</v>
      </c>
      <c r="F63" s="76">
        <v>0.85561233333333331</v>
      </c>
      <c r="G63" s="79">
        <v>1.8837932462832396E-2</v>
      </c>
      <c r="H63" s="80">
        <v>9.9874132198148904E-2</v>
      </c>
      <c r="I63" s="81">
        <v>0.20327036165469434</v>
      </c>
    </row>
    <row r="64" spans="2:9" x14ac:dyDescent="0.3">
      <c r="B64" s="75">
        <v>0</v>
      </c>
      <c r="C64" s="76">
        <v>0.68066099999999996</v>
      </c>
      <c r="D64" s="77">
        <v>0.70564499999999997</v>
      </c>
      <c r="E64" s="78">
        <v>0.77319599999999999</v>
      </c>
      <c r="F64" s="76">
        <v>0.71983399999999997</v>
      </c>
      <c r="G64" s="79">
        <v>1.8832801589402186E-2</v>
      </c>
      <c r="H64" s="80">
        <v>4.787146694013044E-2</v>
      </c>
      <c r="I64" s="81">
        <v>0.10288540737550279</v>
      </c>
    </row>
    <row r="65" spans="2:9" x14ac:dyDescent="0.3">
      <c r="B65" s="75">
        <v>10</v>
      </c>
      <c r="C65" s="76">
        <v>0.63624999999999998</v>
      </c>
      <c r="D65" s="77">
        <v>0.64508200000000004</v>
      </c>
      <c r="E65" s="78">
        <v>0.71424600000000005</v>
      </c>
      <c r="F65" s="76">
        <v>0.66519266666666665</v>
      </c>
      <c r="G65" s="79">
        <v>1.8827670715971984E-2</v>
      </c>
      <c r="H65" s="80">
        <v>4.2710340543401608E-2</v>
      </c>
      <c r="I65" s="81">
        <v>9.3352115646564843E-2</v>
      </c>
    </row>
    <row r="66" spans="2:9" x14ac:dyDescent="0.3">
      <c r="B66" s="75">
        <v>20</v>
      </c>
      <c r="C66" s="76">
        <v>0.66489100000000001</v>
      </c>
      <c r="D66" s="77">
        <v>0.66480899999999998</v>
      </c>
      <c r="E66" s="78">
        <v>0.737738</v>
      </c>
      <c r="F66" s="76">
        <v>0.68914600000000004</v>
      </c>
      <c r="G66" s="79">
        <v>1.8822539842541782E-2</v>
      </c>
      <c r="H66" s="80">
        <v>4.2081926393643158E-2</v>
      </c>
      <c r="I66" s="81">
        <v>9.2199274077924789E-2</v>
      </c>
    </row>
    <row r="67" spans="2:9" x14ac:dyDescent="0.3">
      <c r="B67" s="75">
        <v>25</v>
      </c>
      <c r="C67" s="76">
        <v>0.67931799999999998</v>
      </c>
      <c r="D67" s="77">
        <v>0.67596800000000001</v>
      </c>
      <c r="E67" s="78">
        <v>0.75079700000000005</v>
      </c>
      <c r="F67" s="76">
        <v>0.70202766666666661</v>
      </c>
      <c r="G67" s="79">
        <v>1.881740896911158E-2</v>
      </c>
      <c r="H67" s="80">
        <v>4.2268682618853123E-2</v>
      </c>
      <c r="I67" s="81">
        <v>9.2536185584756778E-2</v>
      </c>
    </row>
    <row r="68" spans="2:9" x14ac:dyDescent="0.3">
      <c r="B68" s="75">
        <v>30</v>
      </c>
      <c r="C68" s="76">
        <v>0.69596999999999998</v>
      </c>
      <c r="D68" s="77">
        <v>0.68928699999999998</v>
      </c>
      <c r="E68" s="78">
        <v>0.76212100000000005</v>
      </c>
      <c r="F68" s="76">
        <v>0.71579266666666663</v>
      </c>
      <c r="G68" s="79">
        <v>1.8812278095681378E-2</v>
      </c>
      <c r="H68" s="80">
        <v>4.0260420692453482E-2</v>
      </c>
      <c r="I68" s="81">
        <v>8.887751755044894E-2</v>
      </c>
    </row>
    <row r="69" spans="2:9" x14ac:dyDescent="0.3">
      <c r="B69" s="75">
        <v>40</v>
      </c>
      <c r="C69" s="76">
        <v>0.73136800000000002</v>
      </c>
      <c r="D69" s="77">
        <v>0.71948199999999995</v>
      </c>
      <c r="E69" s="78">
        <v>0.79177299999999995</v>
      </c>
      <c r="F69" s="82">
        <v>0.74754100000000001</v>
      </c>
      <c r="G69" s="83">
        <v>2.4342874300539212E-2</v>
      </c>
      <c r="H69" s="78">
        <v>3.8764308545361656E-2</v>
      </c>
      <c r="I69" s="84">
        <v>9.1547739375952952E-2</v>
      </c>
    </row>
    <row r="70" spans="2:9" x14ac:dyDescent="0.3">
      <c r="B70" s="75">
        <v>50</v>
      </c>
      <c r="C70" s="76">
        <v>0.76723799999999998</v>
      </c>
      <c r="D70" s="77">
        <v>0.74960599999999999</v>
      </c>
      <c r="E70" s="78">
        <v>0.822515</v>
      </c>
      <c r="F70" s="82">
        <v>0.77978633333333336</v>
      </c>
      <c r="G70" s="83">
        <v>2.9873470505397046E-2</v>
      </c>
      <c r="H70" s="78">
        <v>3.803979590288746E-2</v>
      </c>
      <c r="I70" s="84">
        <v>9.6735728918950326E-2</v>
      </c>
    </row>
    <row r="71" spans="2:9" x14ac:dyDescent="0.3">
      <c r="B71" s="75">
        <v>60</v>
      </c>
      <c r="C71" s="76">
        <v>0.80043299999999995</v>
      </c>
      <c r="D71" s="77">
        <v>0.78240399999999999</v>
      </c>
      <c r="E71" s="78">
        <v>0.85530499999999998</v>
      </c>
      <c r="F71" s="82">
        <v>0.81271400000000005</v>
      </c>
      <c r="G71" s="83">
        <v>3.5404066710254881E-2</v>
      </c>
      <c r="H71" s="78">
        <v>3.7970464455942599E-2</v>
      </c>
      <c r="I71" s="84">
        <v>0.10383071049789032</v>
      </c>
    </row>
    <row r="72" spans="2:9" x14ac:dyDescent="0.3">
      <c r="B72" s="75">
        <v>70</v>
      </c>
      <c r="C72" s="76">
        <v>0.83243299999999998</v>
      </c>
      <c r="D72" s="77">
        <v>0.81265500000000002</v>
      </c>
      <c r="E72" s="78">
        <v>0.88858499999999996</v>
      </c>
      <c r="F72" s="82">
        <v>0.84455766666666665</v>
      </c>
      <c r="G72" s="83">
        <v>4.0934662915112718E-2</v>
      </c>
      <c r="H72" s="78">
        <v>3.9390314562508015E-2</v>
      </c>
      <c r="I72" s="84">
        <v>0.1136176660437493</v>
      </c>
    </row>
  </sheetData>
  <mergeCells count="18">
    <mergeCell ref="A1:I1"/>
    <mergeCell ref="J1:R1"/>
    <mergeCell ref="J19:R20"/>
    <mergeCell ref="V4:X4"/>
    <mergeCell ref="V3:AA3"/>
    <mergeCell ref="Y4:AA4"/>
    <mergeCell ref="AB3:AG3"/>
    <mergeCell ref="AB4:AD4"/>
    <mergeCell ref="AE4:AG4"/>
    <mergeCell ref="C60:E60"/>
    <mergeCell ref="G60:I60"/>
    <mergeCell ref="U3:U4"/>
    <mergeCell ref="B40:B42"/>
    <mergeCell ref="C40:F42"/>
    <mergeCell ref="C43:E43"/>
    <mergeCell ref="G43:I43"/>
    <mergeCell ref="B57:B59"/>
    <mergeCell ref="C57:F59"/>
  </mergeCells>
  <conditionalFormatting sqref="Y7:Y16">
    <cfRule type="cellIs" dxfId="13" priority="16" stopIfTrue="1" operator="equal">
      <formula>"x-x-x"</formula>
    </cfRule>
  </conditionalFormatting>
  <conditionalFormatting sqref="W7">
    <cfRule type="cellIs" dxfId="12" priority="15" stopIfTrue="1" operator="equal">
      <formula>"x-x-x"</formula>
    </cfRule>
  </conditionalFormatting>
  <conditionalFormatting sqref="W13">
    <cfRule type="cellIs" dxfId="11" priority="10" stopIfTrue="1" operator="equal">
      <formula>"x-x-x"</formula>
    </cfRule>
  </conditionalFormatting>
  <conditionalFormatting sqref="W16">
    <cfRule type="cellIs" dxfId="10" priority="13" stopIfTrue="1" operator="equal">
      <formula>"x-x-x"</formula>
    </cfRule>
  </conditionalFormatting>
  <conditionalFormatting sqref="W15">
    <cfRule type="cellIs" dxfId="9" priority="12" stopIfTrue="1" operator="equal">
      <formula>"x-x-x"</formula>
    </cfRule>
  </conditionalFormatting>
  <conditionalFormatting sqref="W14">
    <cfRule type="cellIs" dxfId="8" priority="11" stopIfTrue="1" operator="equal">
      <formula>"x-x-x"</formula>
    </cfRule>
  </conditionalFormatting>
  <conditionalFormatting sqref="W12">
    <cfRule type="cellIs" dxfId="7" priority="9" stopIfTrue="1" operator="equal">
      <formula>"x-x-x"</formula>
    </cfRule>
  </conditionalFormatting>
  <conditionalFormatting sqref="W11">
    <cfRule type="cellIs" dxfId="6" priority="8" stopIfTrue="1" operator="equal">
      <formula>"x-x-x"</formula>
    </cfRule>
  </conditionalFormatting>
  <conditionalFormatting sqref="W10">
    <cfRule type="cellIs" dxfId="5" priority="7" stopIfTrue="1" operator="equal">
      <formula>"x-x-x"</formula>
    </cfRule>
  </conditionalFormatting>
  <conditionalFormatting sqref="W9">
    <cfRule type="cellIs" dxfId="4" priority="6" stopIfTrue="1" operator="equal">
      <formula>"x-x-x"</formula>
    </cfRule>
  </conditionalFormatting>
  <conditionalFormatting sqref="W8">
    <cfRule type="cellIs" dxfId="3" priority="5" stopIfTrue="1" operator="equal">
      <formula>"x-x-x"</formula>
    </cfRule>
  </conditionalFormatting>
  <conditionalFormatting sqref="Z7:Z16">
    <cfRule type="cellIs" dxfId="2" priority="3" stopIfTrue="1" operator="equal">
      <formula>"x-x-x"</formula>
    </cfRule>
  </conditionalFormatting>
  <conditionalFormatting sqref="AC7:AC16">
    <cfRule type="cellIs" dxfId="1" priority="2" stopIfTrue="1" operator="equal">
      <formula>"x-x-x"</formula>
    </cfRule>
  </conditionalFormatting>
  <conditionalFormatting sqref="AF7:AF16">
    <cfRule type="cellIs" dxfId="0" priority="1" stopIfTrue="1" operator="equal">
      <formula>"x-x-x"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7BEE-C9C1-4F07-BA5A-9DA98E1CA770}">
  <dimension ref="B4:L11"/>
  <sheetViews>
    <sheetView workbookViewId="0">
      <selection activeCell="F22" sqref="F22"/>
    </sheetView>
  </sheetViews>
  <sheetFormatPr baseColWidth="10" defaultRowHeight="14.4" x14ac:dyDescent="0.3"/>
  <cols>
    <col min="3" max="3" width="10.109375" bestFit="1" customWidth="1"/>
    <col min="5" max="5" width="6.33203125" bestFit="1" customWidth="1"/>
    <col min="6" max="6" width="9" bestFit="1" customWidth="1"/>
    <col min="7" max="7" width="8.33203125" bestFit="1" customWidth="1"/>
    <col min="8" max="8" width="5" bestFit="1" customWidth="1"/>
    <col min="9" max="10" width="6" bestFit="1" customWidth="1"/>
  </cols>
  <sheetData>
    <row r="4" spans="2:12" x14ac:dyDescent="0.3">
      <c r="B4" s="14"/>
      <c r="C4" s="96" t="s">
        <v>1</v>
      </c>
      <c r="D4" s="96"/>
      <c r="E4" s="94" t="s">
        <v>2</v>
      </c>
      <c r="F4" s="95"/>
      <c r="G4" s="96" t="s">
        <v>28</v>
      </c>
      <c r="H4" s="96"/>
      <c r="I4" s="96"/>
      <c r="J4" s="96"/>
      <c r="K4" s="24" t="s">
        <v>30</v>
      </c>
      <c r="L4" s="23"/>
    </row>
    <row r="5" spans="2:12" ht="28.8" x14ac:dyDescent="0.3">
      <c r="B5" s="16" t="s">
        <v>11</v>
      </c>
      <c r="C5" s="16" t="s">
        <v>20</v>
      </c>
      <c r="D5" s="16" t="s">
        <v>0</v>
      </c>
      <c r="E5" s="16" t="s">
        <v>17</v>
      </c>
      <c r="F5" s="17" t="s">
        <v>19</v>
      </c>
      <c r="G5" s="16" t="s">
        <v>3</v>
      </c>
      <c r="H5" s="16" t="s">
        <v>4</v>
      </c>
      <c r="I5" s="16" t="s">
        <v>5</v>
      </c>
      <c r="J5" s="16" t="s">
        <v>21</v>
      </c>
      <c r="K5" s="20" t="s">
        <v>29</v>
      </c>
    </row>
    <row r="6" spans="2:12" x14ac:dyDescent="0.3">
      <c r="B6" s="15"/>
      <c r="C6" s="15"/>
      <c r="D6" s="15"/>
      <c r="E6" s="15"/>
      <c r="F6" s="15"/>
      <c r="G6" s="15" t="s">
        <v>6</v>
      </c>
      <c r="H6" s="15" t="s">
        <v>6</v>
      </c>
      <c r="I6" s="15" t="s">
        <v>6</v>
      </c>
      <c r="J6" s="15" t="s">
        <v>10</v>
      </c>
      <c r="K6" s="22" t="s">
        <v>9</v>
      </c>
    </row>
    <row r="7" spans="2:12" x14ac:dyDescent="0.3">
      <c r="B7" s="15"/>
      <c r="C7" s="15"/>
      <c r="D7" s="15" t="s">
        <v>14</v>
      </c>
      <c r="E7" s="15"/>
      <c r="F7" s="15"/>
      <c r="G7" s="15"/>
      <c r="H7" s="15"/>
      <c r="I7" s="15"/>
      <c r="J7" s="15"/>
      <c r="K7" s="1"/>
    </row>
    <row r="8" spans="2:12" x14ac:dyDescent="0.3">
      <c r="B8" s="16" t="s">
        <v>12</v>
      </c>
      <c r="C8" s="3">
        <v>44009</v>
      </c>
      <c r="D8" s="2">
        <v>56</v>
      </c>
      <c r="E8" s="16" t="s">
        <v>8</v>
      </c>
      <c r="F8" s="16" t="s">
        <v>18</v>
      </c>
      <c r="G8" s="16">
        <v>350</v>
      </c>
      <c r="H8" s="16">
        <v>100</v>
      </c>
      <c r="I8" s="16">
        <v>1000</v>
      </c>
      <c r="J8" s="16">
        <v>11.2</v>
      </c>
      <c r="K8" s="20">
        <v>10</v>
      </c>
    </row>
    <row r="9" spans="2:12" x14ac:dyDescent="0.3">
      <c r="B9" s="20" t="s">
        <v>15</v>
      </c>
      <c r="C9" s="21">
        <v>44109</v>
      </c>
      <c r="D9" s="19">
        <v>220</v>
      </c>
      <c r="E9" s="20" t="s">
        <v>8</v>
      </c>
      <c r="F9" s="20" t="s">
        <v>18</v>
      </c>
      <c r="G9" s="16">
        <v>350</v>
      </c>
      <c r="H9" s="16">
        <v>100</v>
      </c>
      <c r="I9" s="16">
        <v>1000</v>
      </c>
      <c r="J9" s="16">
        <v>11.2</v>
      </c>
      <c r="K9" s="20">
        <v>10</v>
      </c>
    </row>
    <row r="10" spans="2:12" x14ac:dyDescent="0.3">
      <c r="B10" s="20" t="s">
        <v>25</v>
      </c>
      <c r="C10" s="21">
        <v>44244.546655092592</v>
      </c>
      <c r="D10" s="20">
        <v>140</v>
      </c>
      <c r="E10" s="20" t="s">
        <v>16</v>
      </c>
      <c r="F10" s="20" t="s">
        <v>26</v>
      </c>
      <c r="G10" s="16">
        <v>350</v>
      </c>
      <c r="H10" s="16">
        <v>100</v>
      </c>
      <c r="I10" s="16">
        <v>1000</v>
      </c>
      <c r="J10" s="16">
        <v>11.2</v>
      </c>
      <c r="K10" s="20">
        <v>10</v>
      </c>
    </row>
    <row r="11" spans="2:12" x14ac:dyDescent="0.3">
      <c r="B11" s="20" t="s">
        <v>27</v>
      </c>
      <c r="C11" s="21">
        <v>44259.581678240742</v>
      </c>
      <c r="D11" s="19">
        <v>92</v>
      </c>
      <c r="E11" s="20" t="s">
        <v>16</v>
      </c>
      <c r="F11" s="20" t="s">
        <v>26</v>
      </c>
      <c r="G11" s="16">
        <v>350</v>
      </c>
      <c r="H11" s="18">
        <v>200</v>
      </c>
      <c r="I11" s="16">
        <v>1000</v>
      </c>
      <c r="J11" s="16">
        <v>5.5</v>
      </c>
      <c r="K11" s="20">
        <v>10</v>
      </c>
    </row>
  </sheetData>
  <mergeCells count="3">
    <mergeCell ref="C4:D4"/>
    <mergeCell ref="E4:F4"/>
    <mergeCell ref="G4:J4"/>
  </mergeCells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Material Parameters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Kling Stephan</dc:creator>
  <cp:lastModifiedBy>Kling Stephan</cp:lastModifiedBy>
  <dcterms:created xsi:type="dcterms:W3CDTF">2015-06-05T18:19:34Z</dcterms:created>
  <dcterms:modified xsi:type="dcterms:W3CDTF">2022-11-11T09:36:09Z</dcterms:modified>
</cp:coreProperties>
</file>