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0" windowWidth="20115" windowHeight="9780" firstSheet="6" activeTab="9"/>
  </bookViews>
  <sheets>
    <sheet name="Figure1" sheetId="1" r:id="rId1"/>
    <sheet name="Figure2" sheetId="2" r:id="rId2"/>
    <sheet name="Figure3" sheetId="3" r:id="rId3"/>
    <sheet name="Figure4" sheetId="4" r:id="rId4"/>
    <sheet name="Supplementary Figure 1 " sheetId="5" r:id="rId5"/>
    <sheet name="Supplementary Figure 2" sheetId="6" r:id="rId6"/>
    <sheet name="Supplementary Figure 3" sheetId="7" r:id="rId7"/>
    <sheet name="Supplementary Figure 5" sheetId="8" r:id="rId8"/>
    <sheet name="Supplementary Figure 7" sheetId="10" r:id="rId9"/>
    <sheet name="Supplementary Figure 9" sheetId="11" r:id="rId10"/>
  </sheets>
  <calcPr calcId="145621"/>
</workbook>
</file>

<file path=xl/calcChain.xml><?xml version="1.0" encoding="utf-8"?>
<calcChain xmlns="http://schemas.openxmlformats.org/spreadsheetml/2006/main">
  <c r="Q55" i="1" l="1"/>
  <c r="Q56" i="1"/>
  <c r="Q57" i="1"/>
  <c r="Q58" i="1"/>
  <c r="Q59" i="1"/>
  <c r="Q60" i="1"/>
  <c r="Q61" i="1"/>
  <c r="Q62" i="1"/>
  <c r="Q63" i="1"/>
  <c r="Q64" i="1"/>
  <c r="Q54" i="1"/>
</calcChain>
</file>

<file path=xl/sharedStrings.xml><?xml version="1.0" encoding="utf-8"?>
<sst xmlns="http://schemas.openxmlformats.org/spreadsheetml/2006/main" count="582" uniqueCount="164">
  <si>
    <t>Panel C</t>
  </si>
  <si>
    <t>DNA concentration (nM)</t>
  </si>
  <si>
    <t>rep1</t>
  </si>
  <si>
    <t>rep2</t>
  </si>
  <si>
    <t>rep3</t>
  </si>
  <si>
    <t>Average</t>
  </si>
  <si>
    <t>STD</t>
  </si>
  <si>
    <r>
      <rPr>
        <i/>
        <sz val="11"/>
        <color theme="1"/>
        <rFont val="Calibri"/>
        <family val="2"/>
        <scheme val="minor"/>
      </rPr>
      <t>in vitro</t>
    </r>
    <r>
      <rPr>
        <sz val="11"/>
        <color theme="1"/>
        <rFont val="Calibri"/>
        <family val="2"/>
        <scheme val="minor"/>
      </rPr>
      <t xml:space="preserve"> capacity (GFP.h-1)</t>
    </r>
  </si>
  <si>
    <t>Panel D</t>
  </si>
  <si>
    <t>Weak RBS</t>
  </si>
  <si>
    <t>Strong RBS</t>
  </si>
  <si>
    <r>
      <t xml:space="preserve">normalised </t>
    </r>
    <r>
      <rPr>
        <i/>
        <sz val="11"/>
        <color theme="1"/>
        <rFont val="Calibri"/>
        <family val="2"/>
        <scheme val="minor"/>
      </rPr>
      <t>in vitro</t>
    </r>
    <r>
      <rPr>
        <sz val="11"/>
        <color theme="1"/>
        <rFont val="Calibri"/>
        <family val="2"/>
        <scheme val="minor"/>
      </rPr>
      <t xml:space="preserve"> capacity</t>
    </r>
  </si>
  <si>
    <t>Panel E</t>
  </si>
  <si>
    <t>In vivo</t>
  </si>
  <si>
    <t>normalised Capacity</t>
  </si>
  <si>
    <t>Capacity monitor alone</t>
  </si>
  <si>
    <t>Capacity monitor +Rand1</t>
  </si>
  <si>
    <t>Capacity monitor +Rand2</t>
  </si>
  <si>
    <t>Capacity monitor +Rand3</t>
  </si>
  <si>
    <t>Capacity monitor +Rand4</t>
  </si>
  <si>
    <t>Capacity monitor +Rand5</t>
  </si>
  <si>
    <t>Capacity monitor +Rand6</t>
  </si>
  <si>
    <t>Capacity monitor +Rand7</t>
  </si>
  <si>
    <t>Capacity monitor +Rand8</t>
  </si>
  <si>
    <t>Capacity monitor +Rand9</t>
  </si>
  <si>
    <t>Capacity monitor +Rand10</t>
  </si>
  <si>
    <t>Capacity monitor +Rand11</t>
  </si>
  <si>
    <t>Capacity monitor +Rand12</t>
  </si>
  <si>
    <r>
      <t xml:space="preserve">normalised </t>
    </r>
    <r>
      <rPr>
        <i/>
        <sz val="11"/>
        <color theme="1"/>
        <rFont val="Calibri"/>
        <family val="2"/>
        <scheme val="minor"/>
      </rPr>
      <t>in vivo</t>
    </r>
    <r>
      <rPr>
        <sz val="11"/>
        <color theme="1"/>
        <rFont val="Calibri"/>
        <family val="2"/>
        <scheme val="minor"/>
      </rPr>
      <t xml:space="preserve"> capacity</t>
    </r>
  </si>
  <si>
    <r>
      <t>normalised</t>
    </r>
    <r>
      <rPr>
        <i/>
        <sz val="11"/>
        <color theme="1"/>
        <rFont val="Calibri"/>
        <family val="2"/>
        <scheme val="minor"/>
      </rPr>
      <t xml:space="preserve"> in vitro</t>
    </r>
    <r>
      <rPr>
        <sz val="11"/>
        <color theme="1"/>
        <rFont val="Calibri"/>
        <family val="2"/>
        <scheme val="minor"/>
      </rPr>
      <t xml:space="preserve"> capacity</t>
    </r>
  </si>
  <si>
    <t>Cell lysate</t>
  </si>
  <si>
    <t>Panel F</t>
  </si>
  <si>
    <t>Panel G</t>
  </si>
  <si>
    <t xml:space="preserve">DH10B-GFP in M9 + Fructose </t>
  </si>
  <si>
    <t>DH10B-GFP in M9 + Pyruvate</t>
  </si>
  <si>
    <t>MG1665-GFP in M9 + Fructose</t>
  </si>
  <si>
    <t>DH10B-GFP in M9 + Glucose</t>
  </si>
  <si>
    <t>DH10B-GFP in LB</t>
  </si>
  <si>
    <t>Panel H</t>
  </si>
  <si>
    <t>DH10B-GFP
 in M9 + Pyruvate</t>
  </si>
  <si>
    <t xml:space="preserve">DH10B-GFP 
in M9 + Fructose </t>
  </si>
  <si>
    <t>MG1665-GFP
 in M9 + Fructose</t>
  </si>
  <si>
    <t>DH10B-GFP
 in M9 + Glucose</t>
  </si>
  <si>
    <t>DH10B-GFP
 in LB</t>
  </si>
  <si>
    <t>Panel B</t>
  </si>
  <si>
    <t>std</t>
  </si>
  <si>
    <r>
      <t xml:space="preserve">normalised </t>
    </r>
    <r>
      <rPr>
        <i/>
        <sz val="11"/>
        <color theme="1"/>
        <rFont val="Calibri"/>
        <family val="2"/>
        <scheme val="minor"/>
      </rPr>
      <t>in vivo</t>
    </r>
    <r>
      <rPr>
        <sz val="11"/>
        <color theme="1"/>
        <rFont val="Calibri"/>
        <family val="2"/>
        <scheme val="minor"/>
      </rPr>
      <t xml:space="preserve"> Capacity</t>
    </r>
  </si>
  <si>
    <t>Predicted capacity</t>
  </si>
  <si>
    <r>
      <t>Capacity Monitor + construct (RBS strength=2.6 /</t>
    </r>
    <r>
      <rPr>
        <sz val="11"/>
        <color theme="1"/>
        <rFont val="Calibri"/>
        <family val="2"/>
      </rPr>
      <t>γ</t>
    </r>
    <r>
      <rPr>
        <sz val="11"/>
        <color theme="1"/>
        <rFont val="Calibri"/>
        <family val="2"/>
        <scheme val="minor"/>
      </rPr>
      <t>=1.4 s-1)</t>
    </r>
  </si>
  <si>
    <r>
      <t>Capacity Monitor + construct (RBS strength=2.4 /</t>
    </r>
    <r>
      <rPr>
        <sz val="11"/>
        <color theme="1"/>
        <rFont val="Calibri"/>
        <family val="2"/>
      </rPr>
      <t>γ</t>
    </r>
    <r>
      <rPr>
        <sz val="11"/>
        <color theme="1"/>
        <rFont val="Calibri"/>
        <family val="2"/>
        <scheme val="minor"/>
      </rPr>
      <t>=0.6 s-1)</t>
    </r>
  </si>
  <si>
    <t>Operon names</t>
  </si>
  <si>
    <t>Capacity monitor</t>
  </si>
  <si>
    <t>Predicted capcaity</t>
  </si>
  <si>
    <t>A4-2</t>
  </si>
  <si>
    <t>B3-1</t>
  </si>
  <si>
    <t>B4-1</t>
  </si>
  <si>
    <t>B8-1</t>
  </si>
  <si>
    <t>B10-2</t>
  </si>
  <si>
    <t>C1-1</t>
  </si>
  <si>
    <t>C7-1</t>
  </si>
  <si>
    <t>D2-1</t>
  </si>
  <si>
    <t>D6-1</t>
  </si>
  <si>
    <t>A8-2</t>
  </si>
  <si>
    <t>B2-1</t>
  </si>
  <si>
    <t>B7-2</t>
  </si>
  <si>
    <t>C6-1</t>
  </si>
  <si>
    <t xml:space="preserve">C9-1 </t>
  </si>
  <si>
    <t xml:space="preserve">D9-2 </t>
  </si>
  <si>
    <t>B3-1 str</t>
  </si>
  <si>
    <t>B10-2 str</t>
  </si>
  <si>
    <t xml:space="preserve">Predicted - Measured Normalised Capacity </t>
  </si>
  <si>
    <t>C9-1</t>
  </si>
  <si>
    <t>D9-2</t>
  </si>
  <si>
    <t>Capacity monitor + BCD2 E</t>
  </si>
  <si>
    <t>Capacity monitor +BCD2 Viob</t>
  </si>
  <si>
    <t>Capacity monitor +BCD2 V1</t>
  </si>
  <si>
    <t>Capacity monitor +BCD2 V2</t>
  </si>
  <si>
    <t>Capacity monitor +BCD2 V3</t>
  </si>
  <si>
    <t>Capacity monitor +BCD2 URA3</t>
  </si>
  <si>
    <t>Capacity monitor +BCD2 Leu2</t>
  </si>
  <si>
    <t>Capacity monitor +BCD2 SuhB</t>
  </si>
  <si>
    <t>Capacity monitor +BCD2 Ste12</t>
  </si>
  <si>
    <t>Capacity monitor +BCD2 atf1</t>
  </si>
  <si>
    <t>Capacity monitor +BCD2 aspA</t>
  </si>
  <si>
    <t>Capacity monitor +BCD21 E</t>
  </si>
  <si>
    <t>Capacity monitor +BCD21 Viob</t>
  </si>
  <si>
    <t>Capacity monitor +BCD21 V1</t>
  </si>
  <si>
    <t>Capacity monitor +BCD21 V2</t>
  </si>
  <si>
    <t>Capacity monitor +BCD21 V3</t>
  </si>
  <si>
    <t>Capacity monitor +BCD21 URA3</t>
  </si>
  <si>
    <t>Capacity monitor +BCD21 aspA</t>
  </si>
  <si>
    <t>Capacity monitor +BCD21 Leu2</t>
  </si>
  <si>
    <t>Capacity monitor +BCD21 SuhB</t>
  </si>
  <si>
    <t>Capacity monitor +BCD21 Ste12</t>
  </si>
  <si>
    <t>Capacity monitor +BCD21 atf1</t>
  </si>
  <si>
    <t>Capacity monitor + Luci_J23</t>
  </si>
  <si>
    <t>Capacity monitor + Luci_1</t>
  </si>
  <si>
    <t>Capacity monitor + Luci_2</t>
  </si>
  <si>
    <t>Capacity monitor + Luci_3</t>
  </si>
  <si>
    <t>Capacity monitor + Luci_4</t>
  </si>
  <si>
    <t>Capacity monitor + Luci_5</t>
  </si>
  <si>
    <t>Capacity monitor + Luci_6</t>
  </si>
  <si>
    <t>Capacity monitor + Luci_7</t>
  </si>
  <si>
    <t>Capacity monitor + Luci_8</t>
  </si>
  <si>
    <t>Capacity monitor + Luci_9</t>
  </si>
  <si>
    <t>Capacity monitor + Luci_10</t>
  </si>
  <si>
    <t>Capacity monitor + Luci_11</t>
  </si>
  <si>
    <t>LCapacity monitor + uci_12</t>
  </si>
  <si>
    <t>Capacity monitor + Luci_13</t>
  </si>
  <si>
    <r>
      <t>Luminescence per cell (AU.OD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</si>
  <si>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Capacity monitor + A4-2</t>
  </si>
  <si>
    <t>Capacity monitor + B3-1</t>
  </si>
  <si>
    <t>Capacity monitor + B4-1</t>
  </si>
  <si>
    <t>Capacity monitor + B8-1</t>
  </si>
  <si>
    <t>Capacity monitor + B10-2</t>
  </si>
  <si>
    <t>Capacity monitor + C1-1</t>
  </si>
  <si>
    <t>Capacity monitor + C7-1</t>
  </si>
  <si>
    <t>Capacity monitor + D2-1</t>
  </si>
  <si>
    <t>Capacity monitor + D6-1</t>
  </si>
  <si>
    <t>Capacity monitor + A8-2</t>
  </si>
  <si>
    <t>Capacity monitor + B2-1</t>
  </si>
  <si>
    <t>Capacity monitor + B7-2</t>
  </si>
  <si>
    <t>Capacity monitor + C6-1</t>
  </si>
  <si>
    <t xml:space="preserve">Capacity monitor + C9-1 </t>
  </si>
  <si>
    <t xml:space="preserve">Capacity monitor + D9-2 </t>
  </si>
  <si>
    <t>Capacity monitor + B3-1 str</t>
  </si>
  <si>
    <t>Capacity monitor + B10-2 str</t>
  </si>
  <si>
    <t>Beta-Carotene production</t>
  </si>
  <si>
    <r>
      <t xml:space="preserve">No Beta-Carotene production (mutated </t>
    </r>
    <r>
      <rPr>
        <i/>
        <sz val="11"/>
        <color theme="1"/>
        <rFont val="Calibri"/>
        <family val="2"/>
        <scheme val="minor"/>
      </rPr>
      <t>crtE</t>
    </r>
    <r>
      <rPr>
        <sz val="11"/>
        <color theme="1"/>
        <rFont val="Calibri"/>
        <family val="2"/>
        <scheme val="minor"/>
      </rPr>
      <t>)</t>
    </r>
  </si>
  <si>
    <t>Strain OD450 - Wild type OD450</t>
  </si>
  <si>
    <t>Std</t>
  </si>
  <si>
    <t>B3-1str</t>
  </si>
  <si>
    <t xml:space="preserve">Beta-Carotene level for each strain </t>
  </si>
  <si>
    <t>Panel A</t>
  </si>
  <si>
    <r>
      <rPr>
        <i/>
        <sz val="11"/>
        <color theme="1"/>
        <rFont val="Calibri"/>
        <family val="2"/>
        <scheme val="minor"/>
      </rPr>
      <t>in vitro</t>
    </r>
    <r>
      <rPr>
        <sz val="11"/>
        <color theme="1"/>
        <rFont val="Calibri"/>
        <family val="2"/>
        <scheme val="minor"/>
      </rPr>
      <t xml:space="preserve"> capacity/DNA concentration (GFP.h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.nM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</si>
  <si>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normalised max RFP production rate</t>
  </si>
  <si>
    <t xml:space="preserve">Capacity monitor alone </t>
  </si>
  <si>
    <r>
      <t>Growth rate (h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</si>
  <si>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normalised</t>
    </r>
    <r>
      <rPr>
        <i/>
        <sz val="11"/>
        <color theme="1"/>
        <rFont val="Calibri"/>
        <family val="2"/>
        <scheme val="minor"/>
      </rPr>
      <t xml:space="preserve"> in vitro </t>
    </r>
    <r>
      <rPr>
        <sz val="11"/>
        <color theme="1"/>
        <rFont val="Calibri"/>
        <family val="2"/>
        <scheme val="minor"/>
      </rPr>
      <t>capacity</t>
    </r>
  </si>
  <si>
    <t>Capacity monitor + B0034_LRE</t>
  </si>
  <si>
    <t>Capacity monitor + B0034_Red Luciferase</t>
  </si>
  <si>
    <t>Capacity monitor + BCD2_LRE</t>
  </si>
  <si>
    <t>Capacity monitor + BCD2_Red Luciferase</t>
  </si>
  <si>
    <t>Capacity monitor + BCD2_mkate alone</t>
  </si>
  <si>
    <t>Capacity monitor + BCD2_CrtE_mkate</t>
  </si>
  <si>
    <t>Capacity monitor + BCD2_CrtB_mkate</t>
  </si>
  <si>
    <t>Capacity monitor + BCD2_CrtI_mkate</t>
  </si>
  <si>
    <t>Capacity monitor + BCD2_CrtY_mkate</t>
  </si>
  <si>
    <t>Capacity monitor + BCD2_CrtE</t>
  </si>
  <si>
    <t>Capacity monitor + BCD2_CrtB</t>
  </si>
  <si>
    <t>Capacity monitor + BCD2_CrtI</t>
  </si>
  <si>
    <t>Capacity monitor + BCD2_CrtY</t>
  </si>
  <si>
    <t>Results of panel A corrected  by mKate  alone</t>
  </si>
  <si>
    <t>Capacity monitor + B0034_mkate alone</t>
  </si>
  <si>
    <t>Capacity monitor + B0034_CrtE_mkate</t>
  </si>
  <si>
    <t>Capacity monitor + B0034_CrtB_mkate</t>
  </si>
  <si>
    <t>Capacity monitor + B0034_CrtI_mkate</t>
  </si>
  <si>
    <t>Capacity monitor + B0034_CrtY_mkate</t>
  </si>
  <si>
    <t>Capacity monitor + B0034_CrtE</t>
  </si>
  <si>
    <t>Capacity monitor + B0034_CrtB</t>
  </si>
  <si>
    <t>Capacity monitor + B0034_CrtI</t>
  </si>
  <si>
    <t>Capacity monitor + B0034_CrtY</t>
  </si>
  <si>
    <t>Results of panel D corrected  by mKate  alone</t>
  </si>
  <si>
    <r>
      <t xml:space="preserve">Predicted - Measured normalised </t>
    </r>
    <r>
      <rPr>
        <i/>
        <sz val="11"/>
        <color theme="1"/>
        <rFont val="Calibri"/>
        <family val="2"/>
        <scheme val="minor"/>
      </rPr>
      <t>in vivo</t>
    </r>
    <r>
      <rPr>
        <sz val="11"/>
        <color theme="1"/>
        <rFont val="Calibri"/>
        <family val="2"/>
        <scheme val="minor"/>
      </rPr>
      <t xml:space="preserve"> capacity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</si>
</sst>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</font>
    <font>
      <sz val="10"/>
      <name val="Arial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5" fillId="0" borderId="0"/>
    <xf numFmtId="0" fontId="1" fillId="0" borderId="0"/>
    <xf numFmtId="0" fontId="6" fillId="0" borderId="0"/>
    <xf numFmtId="0" fontId="6" fillId="0" borderId="0"/>
  </cellStyleXfs>
  <cellXfs count="6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3" fillId="0" borderId="0" xfId="0" applyFont="1"/>
    <xf numFmtId="0" fontId="0" fillId="0" borderId="0" xfId="0"/>
    <xf numFmtId="2" fontId="0" fillId="0" borderId="0" xfId="0" applyNumberFormat="1"/>
    <xf numFmtId="0" fontId="3" fillId="0" borderId="0" xfId="0" applyFont="1"/>
    <xf numFmtId="0" fontId="0" fillId="0" borderId="0" xfId="0"/>
    <xf numFmtId="2" fontId="0" fillId="0" borderId="0" xfId="0" applyNumberFormat="1"/>
    <xf numFmtId="0" fontId="6" fillId="0" borderId="0" xfId="4" applyFill="1"/>
    <xf numFmtId="2" fontId="0" fillId="0" borderId="0" xfId="0" applyNumberFormat="1"/>
    <xf numFmtId="0" fontId="2" fillId="0" borderId="0" xfId="0" applyFont="1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Fon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165" fontId="0" fillId="0" borderId="0" xfId="0" applyNumberFormat="1"/>
    <xf numFmtId="0" fontId="0" fillId="0" borderId="0" xfId="0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0" fontId="0" fillId="0" borderId="0" xfId="0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/>
    <xf numFmtId="2" fontId="0" fillId="0" borderId="0" xfId="0" applyNumberFormat="1"/>
    <xf numFmtId="165" fontId="0" fillId="0" borderId="0" xfId="0" applyNumberFormat="1"/>
  </cellXfs>
  <cellStyles count="6">
    <cellStyle name="Normal" xfId="0" builtinId="0"/>
    <cellStyle name="Normal 2" xfId="1"/>
    <cellStyle name="Normal 2 2" xfId="3"/>
    <cellStyle name="Normal 2 3" xfId="2"/>
    <cellStyle name="Normal 2 3 2" xfId="5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0"/>
  <sheetViews>
    <sheetView topLeftCell="A43" workbookViewId="0">
      <selection activeCell="G53" sqref="F53:G64"/>
    </sheetView>
  </sheetViews>
  <sheetFormatPr defaultRowHeight="15" x14ac:dyDescent="0.25"/>
  <cols>
    <col min="2" max="2" width="28.7109375" bestFit="1" customWidth="1"/>
    <col min="3" max="3" width="9.7109375" bestFit="1" customWidth="1"/>
    <col min="10" max="10" width="24.28515625" bestFit="1" customWidth="1"/>
  </cols>
  <sheetData>
    <row r="1" spans="1:7" x14ac:dyDescent="0.25">
      <c r="A1" s="1" t="s">
        <v>0</v>
      </c>
    </row>
    <row r="3" spans="1:7" x14ac:dyDescent="0.25">
      <c r="B3" t="s">
        <v>1</v>
      </c>
      <c r="C3" s="2" t="s">
        <v>7</v>
      </c>
      <c r="D3" s="2"/>
      <c r="E3" s="2"/>
      <c r="F3" s="2"/>
      <c r="G3" s="2"/>
    </row>
    <row r="4" spans="1:7" x14ac:dyDescent="0.25">
      <c r="B4" s="4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6" spans="1:7" x14ac:dyDescent="0.25">
      <c r="B6" s="4">
        <v>10</v>
      </c>
      <c r="C6" s="4">
        <v>79</v>
      </c>
      <c r="D6" s="4">
        <v>78.584615384615375</v>
      </c>
      <c r="E6" s="4">
        <v>366</v>
      </c>
      <c r="F6" s="5">
        <v>174.52820512820514</v>
      </c>
      <c r="G6" s="5">
        <v>165.81956853660154</v>
      </c>
    </row>
    <row r="7" spans="1:7" x14ac:dyDescent="0.25">
      <c r="B7" s="4">
        <v>15</v>
      </c>
      <c r="C7" s="4">
        <v>495</v>
      </c>
      <c r="D7" s="4">
        <v>182.52307692307693</v>
      </c>
      <c r="E7" s="4">
        <v>716</v>
      </c>
      <c r="F7" s="5">
        <v>464.50769230769237</v>
      </c>
      <c r="G7" s="5">
        <v>268.04242665146694</v>
      </c>
    </row>
    <row r="8" spans="1:7" x14ac:dyDescent="0.25">
      <c r="B8" s="4">
        <v>20</v>
      </c>
      <c r="C8" s="4">
        <v>770</v>
      </c>
      <c r="D8" s="4">
        <v>472.30769230769226</v>
      </c>
      <c r="E8" s="4">
        <v>914</v>
      </c>
      <c r="F8" s="5">
        <v>718.76923076923083</v>
      </c>
      <c r="G8" s="5">
        <v>225.25866788121877</v>
      </c>
    </row>
    <row r="9" spans="1:7" x14ac:dyDescent="0.25">
      <c r="B9" s="4">
        <v>25</v>
      </c>
      <c r="C9" s="4">
        <v>1079</v>
      </c>
      <c r="D9" s="4">
        <v>497.0461538461538</v>
      </c>
      <c r="E9" s="4">
        <v>1348</v>
      </c>
      <c r="F9" s="5">
        <v>974.68205128205136</v>
      </c>
      <c r="G9" s="5">
        <v>434.9623982478787</v>
      </c>
    </row>
    <row r="10" spans="1:7" x14ac:dyDescent="0.25">
      <c r="B10" s="4">
        <v>30</v>
      </c>
      <c r="C10" s="4">
        <v>1317</v>
      </c>
      <c r="D10" s="4">
        <v>779.63076923076915</v>
      </c>
      <c r="E10" s="4">
        <v>1408</v>
      </c>
      <c r="F10" s="5">
        <v>1168.2102564102563</v>
      </c>
      <c r="G10" s="5">
        <v>339.58174773168389</v>
      </c>
    </row>
    <row r="11" spans="1:7" x14ac:dyDescent="0.25">
      <c r="B11" s="4">
        <v>40</v>
      </c>
      <c r="C11" s="4">
        <v>1595</v>
      </c>
      <c r="D11" s="4">
        <v>1056.5538461538461</v>
      </c>
      <c r="E11" s="4">
        <v>1646</v>
      </c>
      <c r="F11" s="5">
        <v>1432.5179487179487</v>
      </c>
      <c r="G11" s="5">
        <v>326.59149531582017</v>
      </c>
    </row>
    <row r="12" spans="1:7" x14ac:dyDescent="0.25">
      <c r="B12" s="4">
        <v>50</v>
      </c>
      <c r="C12" s="4">
        <v>1750</v>
      </c>
      <c r="D12" s="4">
        <v>1424.3076923076922</v>
      </c>
      <c r="E12" s="4">
        <v>1488</v>
      </c>
      <c r="F12" s="5">
        <v>1554.1025641025642</v>
      </c>
      <c r="G12" s="5">
        <v>172.61527035052671</v>
      </c>
    </row>
    <row r="13" spans="1:7" x14ac:dyDescent="0.25">
      <c r="B13" s="4">
        <v>60</v>
      </c>
      <c r="C13" s="4">
        <v>1934</v>
      </c>
      <c r="D13" s="4">
        <v>1237.2307692307693</v>
      </c>
      <c r="E13" s="4">
        <v>1688</v>
      </c>
      <c r="F13" s="5">
        <v>1619.7435897435898</v>
      </c>
      <c r="G13" s="5">
        <v>353.36389656061937</v>
      </c>
    </row>
    <row r="14" spans="1:7" x14ac:dyDescent="0.25">
      <c r="B14" s="4">
        <v>70</v>
      </c>
      <c r="C14" s="4">
        <v>1689</v>
      </c>
      <c r="D14" s="4">
        <v>1401.1692307692308</v>
      </c>
      <c r="E14" s="4">
        <v>1620</v>
      </c>
      <c r="F14" s="5">
        <v>1570.0564102564103</v>
      </c>
      <c r="G14" s="5">
        <v>150.27444741655543</v>
      </c>
    </row>
    <row r="15" spans="1:7" x14ac:dyDescent="0.25">
      <c r="B15" s="4">
        <v>80</v>
      </c>
      <c r="C15" s="4">
        <v>1628</v>
      </c>
      <c r="D15" s="4">
        <v>1358.0923076923077</v>
      </c>
      <c r="E15" s="4">
        <v>1432</v>
      </c>
      <c r="F15" s="5">
        <v>1472.697435897436</v>
      </c>
      <c r="G15" s="5">
        <v>139.48029093096056</v>
      </c>
    </row>
    <row r="16" spans="1:7" x14ac:dyDescent="0.25">
      <c r="B16" s="4">
        <v>90</v>
      </c>
      <c r="C16" s="4">
        <v>1021</v>
      </c>
      <c r="D16" s="4">
        <v>949.10769230769222</v>
      </c>
      <c r="E16" s="4">
        <v>802</v>
      </c>
      <c r="F16" s="5">
        <v>924.03589743589737</v>
      </c>
      <c r="G16" s="5">
        <v>111.631967525302</v>
      </c>
    </row>
    <row r="17" spans="1:16" x14ac:dyDescent="0.25">
      <c r="B17" s="4">
        <v>100</v>
      </c>
      <c r="C17" s="4">
        <v>787</v>
      </c>
      <c r="D17" s="4">
        <v>860</v>
      </c>
      <c r="E17" s="4">
        <v>647</v>
      </c>
      <c r="F17" s="5">
        <v>764.66666666666663</v>
      </c>
      <c r="G17" s="5">
        <v>108.2420127923228</v>
      </c>
    </row>
    <row r="19" spans="1:16" x14ac:dyDescent="0.25">
      <c r="A19" s="1" t="s">
        <v>8</v>
      </c>
    </row>
    <row r="20" spans="1:16" x14ac:dyDescent="0.25">
      <c r="C20" s="7" t="s">
        <v>9</v>
      </c>
      <c r="I20" s="7" t="s">
        <v>10</v>
      </c>
    </row>
    <row r="21" spans="1:16" x14ac:dyDescent="0.25">
      <c r="B21" s="4" t="s">
        <v>1</v>
      </c>
      <c r="C21" s="2" t="s">
        <v>11</v>
      </c>
      <c r="D21" s="2"/>
      <c r="E21" s="2"/>
      <c r="F21" s="2"/>
      <c r="G21" s="2"/>
      <c r="I21" s="2" t="s">
        <v>11</v>
      </c>
      <c r="J21" s="2"/>
      <c r="K21" s="2"/>
      <c r="L21" s="2"/>
      <c r="M21" s="2"/>
    </row>
    <row r="22" spans="1:16" x14ac:dyDescent="0.25">
      <c r="B22" s="7"/>
      <c r="C22" s="7" t="s">
        <v>2</v>
      </c>
      <c r="D22" s="7" t="s">
        <v>3</v>
      </c>
      <c r="E22" s="7" t="s">
        <v>4</v>
      </c>
      <c r="F22" s="7" t="s">
        <v>5</v>
      </c>
      <c r="G22" s="7" t="s">
        <v>6</v>
      </c>
      <c r="I22" s="7" t="s">
        <v>2</v>
      </c>
      <c r="J22" s="7" t="s">
        <v>3</v>
      </c>
      <c r="K22" s="7" t="s">
        <v>4</v>
      </c>
      <c r="L22" s="7" t="s">
        <v>5</v>
      </c>
      <c r="M22" s="7" t="s">
        <v>6</v>
      </c>
    </row>
    <row r="23" spans="1:16" x14ac:dyDescent="0.25">
      <c r="B23" s="7">
        <v>0</v>
      </c>
      <c r="C23" s="8">
        <v>1</v>
      </c>
      <c r="D23" s="8">
        <v>1</v>
      </c>
      <c r="E23" s="8">
        <v>1</v>
      </c>
      <c r="F23" s="8">
        <v>1</v>
      </c>
      <c r="G23" s="8">
        <v>0</v>
      </c>
      <c r="H23" s="7"/>
      <c r="I23" s="8">
        <v>1</v>
      </c>
      <c r="J23" s="8">
        <v>1</v>
      </c>
      <c r="K23" s="8">
        <v>1</v>
      </c>
      <c r="L23" s="8">
        <v>1</v>
      </c>
      <c r="M23" s="8">
        <v>0</v>
      </c>
    </row>
    <row r="24" spans="1:16" x14ac:dyDescent="0.25">
      <c r="B24" s="7">
        <v>5</v>
      </c>
      <c r="C24" s="8">
        <v>1.0162162162162163</v>
      </c>
      <c r="D24" s="8">
        <v>1.095</v>
      </c>
      <c r="E24" s="8">
        <v>0.96415446713657449</v>
      </c>
      <c r="F24" s="8">
        <v>1.0251235611175968</v>
      </c>
      <c r="G24" s="8">
        <v>6.5875974091261474E-2</v>
      </c>
      <c r="H24" s="7"/>
      <c r="I24" s="8">
        <v>0.94594594594594594</v>
      </c>
      <c r="J24" s="8">
        <v>0.77600000000000002</v>
      </c>
      <c r="K24" s="8">
        <v>1.0139165009940359</v>
      </c>
      <c r="L24" s="8">
        <v>0.91195414897999394</v>
      </c>
      <c r="M24" s="8">
        <v>0.12254650977095188</v>
      </c>
    </row>
    <row r="25" spans="1:16" x14ac:dyDescent="0.25">
      <c r="B25" s="7">
        <v>10</v>
      </c>
      <c r="C25" s="8">
        <v>1</v>
      </c>
      <c r="D25" s="8">
        <v>1.052</v>
      </c>
      <c r="E25" s="8">
        <v>0.94451472980300022</v>
      </c>
      <c r="F25" s="8">
        <v>0.99883824326766668</v>
      </c>
      <c r="G25" s="8">
        <v>5.3752051926966991E-2</v>
      </c>
      <c r="H25" s="7"/>
      <c r="I25" s="8">
        <v>0.9027027027027027</v>
      </c>
      <c r="J25" s="8">
        <v>0.65700000000000003</v>
      </c>
      <c r="K25" s="8">
        <v>1.0139165009940359</v>
      </c>
      <c r="L25" s="8">
        <v>0.85787306789891282</v>
      </c>
      <c r="M25" s="8">
        <v>0.182632470519175</v>
      </c>
    </row>
    <row r="26" spans="1:16" x14ac:dyDescent="0.25">
      <c r="B26" s="7">
        <v>20</v>
      </c>
      <c r="C26" s="8">
        <v>0.97297297297297303</v>
      </c>
      <c r="D26" s="8">
        <v>0.89</v>
      </c>
      <c r="E26" s="8">
        <v>0.98614374359901202</v>
      </c>
      <c r="F26" s="8">
        <v>0.94970557219066165</v>
      </c>
      <c r="G26" s="8">
        <v>7.2789658685458128E-2</v>
      </c>
      <c r="H26" s="8"/>
      <c r="I26" s="8">
        <v>0.61081081081081079</v>
      </c>
      <c r="J26" s="8">
        <v>0.64200000000000002</v>
      </c>
      <c r="K26" s="8">
        <v>0.78275799746972707</v>
      </c>
      <c r="L26" s="8">
        <v>0.67852293609351255</v>
      </c>
      <c r="M26" s="8">
        <v>9.1607327194101917E-2</v>
      </c>
    </row>
    <row r="27" spans="1:16" x14ac:dyDescent="0.25">
      <c r="B27" s="7">
        <v>30</v>
      </c>
      <c r="C27" s="8">
        <v>0.81081081081081086</v>
      </c>
      <c r="D27" s="8">
        <v>0.88700000000000001</v>
      </c>
      <c r="E27" s="8">
        <v>0.7580577143201398</v>
      </c>
      <c r="F27" s="8">
        <v>0.81862284171031696</v>
      </c>
      <c r="G27" s="8">
        <v>6.4825142723852133E-2</v>
      </c>
      <c r="H27" s="8"/>
      <c r="I27" s="8">
        <v>0.45945945945945948</v>
      </c>
      <c r="J27" s="8">
        <v>0.4325</v>
      </c>
      <c r="K27" s="8">
        <v>0.54045424423158017</v>
      </c>
      <c r="L27" s="8">
        <v>0.47747123456367985</v>
      </c>
      <c r="M27" s="8">
        <v>5.6185832232927509E-2</v>
      </c>
    </row>
    <row r="28" spans="1:16" x14ac:dyDescent="0.25">
      <c r="B28" s="7">
        <v>40</v>
      </c>
      <c r="C28" s="8">
        <v>0.74054054054054053</v>
      </c>
      <c r="D28" s="8">
        <v>0.77200000000000002</v>
      </c>
      <c r="E28" s="8">
        <v>0.67347430568106514</v>
      </c>
      <c r="F28" s="8">
        <v>0.72867161540720193</v>
      </c>
      <c r="G28" s="8">
        <v>5.0323768222606771E-2</v>
      </c>
      <c r="H28" s="8"/>
      <c r="I28" s="8">
        <v>0.2864864864864865</v>
      </c>
      <c r="J28" s="8">
        <v>0.23599999999999999</v>
      </c>
      <c r="K28" s="8">
        <v>0.37309476474486414</v>
      </c>
      <c r="L28" s="8">
        <v>0.29852708374378351</v>
      </c>
      <c r="M28" s="8">
        <v>6.9335961930637013E-2</v>
      </c>
    </row>
    <row r="29" spans="1:16" x14ac:dyDescent="0.25">
      <c r="H29" s="8"/>
    </row>
    <row r="30" spans="1:16" x14ac:dyDescent="0.25">
      <c r="A30" s="1" t="s">
        <v>12</v>
      </c>
      <c r="H30" s="8"/>
    </row>
    <row r="31" spans="1:16" x14ac:dyDescent="0.25">
      <c r="H31" s="8"/>
    </row>
    <row r="32" spans="1:16" x14ac:dyDescent="0.25">
      <c r="A32" s="9" t="s">
        <v>30</v>
      </c>
      <c r="B32" s="9"/>
      <c r="C32" s="2" t="s">
        <v>29</v>
      </c>
      <c r="D32" s="2"/>
      <c r="E32" s="2"/>
      <c r="F32" s="2"/>
      <c r="G32" s="2"/>
      <c r="H32" s="9"/>
      <c r="I32" s="11" t="s">
        <v>13</v>
      </c>
      <c r="J32" s="9"/>
      <c r="K32" s="2" t="s">
        <v>28</v>
      </c>
      <c r="L32" s="2"/>
      <c r="M32" s="2"/>
      <c r="N32" s="2"/>
      <c r="O32" s="2"/>
      <c r="P32" s="2"/>
    </row>
    <row r="33" spans="1:16" x14ac:dyDescent="0.25">
      <c r="A33" s="7"/>
      <c r="B33" s="9"/>
      <c r="C33" s="9" t="s">
        <v>2</v>
      </c>
      <c r="D33" s="9" t="s">
        <v>3</v>
      </c>
      <c r="E33" s="9" t="s">
        <v>4</v>
      </c>
      <c r="F33" s="9" t="s">
        <v>5</v>
      </c>
      <c r="G33" s="9" t="s">
        <v>6</v>
      </c>
      <c r="H33" s="9"/>
      <c r="I33" s="9"/>
      <c r="J33" s="9"/>
      <c r="K33" s="9" t="s">
        <v>2</v>
      </c>
      <c r="L33" s="9" t="s">
        <v>3</v>
      </c>
      <c r="M33" s="9" t="s">
        <v>4</v>
      </c>
      <c r="N33" s="9"/>
      <c r="O33" s="9" t="s">
        <v>5</v>
      </c>
      <c r="P33" s="9" t="s">
        <v>6</v>
      </c>
    </row>
    <row r="34" spans="1:16" x14ac:dyDescent="0.25">
      <c r="A34" s="7"/>
      <c r="B34" s="9" t="s">
        <v>136</v>
      </c>
      <c r="C34" s="10">
        <v>1</v>
      </c>
      <c r="D34" s="10">
        <v>1</v>
      </c>
      <c r="E34" s="10">
        <v>1</v>
      </c>
      <c r="F34" s="9">
        <v>1</v>
      </c>
      <c r="G34" s="9">
        <v>0</v>
      </c>
      <c r="H34" s="9"/>
      <c r="I34" s="9"/>
      <c r="J34" s="9" t="s">
        <v>15</v>
      </c>
      <c r="K34" s="10">
        <v>1</v>
      </c>
      <c r="L34" s="10">
        <v>1</v>
      </c>
      <c r="M34" s="10">
        <v>1</v>
      </c>
      <c r="N34" s="10"/>
      <c r="O34" s="10">
        <v>1</v>
      </c>
      <c r="P34" s="10">
        <v>0</v>
      </c>
    </row>
    <row r="35" spans="1:16" x14ac:dyDescent="0.25">
      <c r="A35" s="7"/>
      <c r="B35" s="9" t="s">
        <v>16</v>
      </c>
      <c r="C35" s="10">
        <v>0.91194514615662214</v>
      </c>
      <c r="D35" s="10">
        <v>0.79875195007800315</v>
      </c>
      <c r="E35" s="10">
        <v>0.83165992958664758</v>
      </c>
      <c r="F35" s="10">
        <v>0.85324209867655887</v>
      </c>
      <c r="G35" s="10">
        <v>7.6856806927398658E-2</v>
      </c>
      <c r="H35" s="9"/>
      <c r="I35" s="9"/>
      <c r="J35" s="9" t="s">
        <v>16</v>
      </c>
      <c r="K35" s="10">
        <v>0.86836812346611847</v>
      </c>
      <c r="L35" s="10">
        <v>0.86919970294468607</v>
      </c>
      <c r="M35" s="10">
        <v>0.85904108164326598</v>
      </c>
      <c r="N35" s="10"/>
      <c r="O35" s="10">
        <v>0.86553630268469017</v>
      </c>
      <c r="P35" s="10">
        <v>4.6053449664502782E-3</v>
      </c>
    </row>
    <row r="36" spans="1:16" x14ac:dyDescent="0.25">
      <c r="A36" s="7"/>
      <c r="B36" s="9" t="s">
        <v>17</v>
      </c>
      <c r="C36" s="10">
        <v>0.62901479610249011</v>
      </c>
      <c r="D36" s="10">
        <v>0.74455600469422345</v>
      </c>
      <c r="E36" s="10">
        <v>0.82282608695652149</v>
      </c>
      <c r="F36" s="10">
        <v>0.74255160289068967</v>
      </c>
      <c r="G36" s="10">
        <v>8.2291503276370193E-2</v>
      </c>
      <c r="H36" s="9"/>
      <c r="I36" s="9"/>
      <c r="J36" s="9" t="s">
        <v>17</v>
      </c>
      <c r="K36" s="10">
        <v>0.88781847790758195</v>
      </c>
      <c r="L36" s="10">
        <v>0.88933750823994728</v>
      </c>
      <c r="M36" s="10">
        <v>0.8494322557712437</v>
      </c>
      <c r="N36" s="10"/>
      <c r="O36" s="10">
        <v>0.87552941397292428</v>
      </c>
      <c r="P36" s="10">
        <v>1.846389473071379E-2</v>
      </c>
    </row>
    <row r="37" spans="1:16" x14ac:dyDescent="0.25">
      <c r="A37" s="7"/>
      <c r="B37" s="9" t="s">
        <v>18</v>
      </c>
      <c r="C37" s="10">
        <v>0.88740526885600868</v>
      </c>
      <c r="D37" s="10">
        <v>0.81123244929797189</v>
      </c>
      <c r="E37" s="10">
        <v>0.85</v>
      </c>
      <c r="F37" s="10">
        <v>0.86215942953849511</v>
      </c>
      <c r="G37" s="10">
        <v>4.0044434564693684E-2</v>
      </c>
      <c r="H37" s="9"/>
      <c r="I37" s="9"/>
      <c r="J37" s="9" t="s">
        <v>18</v>
      </c>
      <c r="K37" s="10">
        <v>0.90630405002303704</v>
      </c>
      <c r="L37" s="10">
        <v>0.90565935787847018</v>
      </c>
      <c r="M37" s="10">
        <v>0.85354288245603915</v>
      </c>
      <c r="N37" s="10"/>
      <c r="O37" s="10">
        <v>0.8885020967858489</v>
      </c>
      <c r="P37" s="10">
        <v>2.4721298602736499E-2</v>
      </c>
    </row>
    <row r="38" spans="1:16" x14ac:dyDescent="0.25">
      <c r="A38" s="7"/>
      <c r="B38" s="9" t="s">
        <v>19</v>
      </c>
      <c r="C38" s="10">
        <v>0.75</v>
      </c>
      <c r="D38" s="10">
        <v>0.68</v>
      </c>
      <c r="E38" s="10">
        <v>0.72</v>
      </c>
      <c r="F38" s="10">
        <v>0.71666666666666679</v>
      </c>
      <c r="G38" s="10">
        <v>3.5118845842842437E-2</v>
      </c>
      <c r="H38" s="9"/>
      <c r="I38" s="9"/>
      <c r="J38" s="9" t="s">
        <v>19</v>
      </c>
      <c r="K38" s="10">
        <v>0.79886811721214157</v>
      </c>
      <c r="L38" s="10">
        <v>0.81400647731506681</v>
      </c>
      <c r="M38" s="10">
        <v>0.79187034148032609</v>
      </c>
      <c r="N38" s="10"/>
      <c r="O38" s="10">
        <v>0.80158164533584486</v>
      </c>
      <c r="P38" s="10">
        <v>9.2384902656267188E-3</v>
      </c>
    </row>
    <row r="39" spans="1:16" x14ac:dyDescent="0.25">
      <c r="A39" s="7"/>
      <c r="B39" s="9" t="s">
        <v>20</v>
      </c>
      <c r="C39" s="10">
        <v>0.8</v>
      </c>
      <c r="D39" s="10">
        <v>0.87116964402138475</v>
      </c>
      <c r="E39" s="10">
        <v>0.75</v>
      </c>
      <c r="F39" s="10">
        <v>0.80705654800712823</v>
      </c>
      <c r="G39" s="10">
        <v>6.0892255750628538E-2</v>
      </c>
      <c r="H39" s="9"/>
      <c r="I39" s="9"/>
      <c r="J39" s="9" t="s">
        <v>20</v>
      </c>
      <c r="K39" s="10">
        <v>0.87640577907299522</v>
      </c>
      <c r="L39" s="10">
        <v>0.89037961921749564</v>
      </c>
      <c r="M39" s="10">
        <v>0.83396359854394198</v>
      </c>
      <c r="N39" s="10"/>
      <c r="O39" s="10">
        <v>0.86691633227814435</v>
      </c>
      <c r="P39" s="10">
        <v>2.398928993688557E-2</v>
      </c>
    </row>
    <row r="40" spans="1:16" x14ac:dyDescent="0.25">
      <c r="A40" s="7"/>
      <c r="B40" s="9" t="s">
        <v>21</v>
      </c>
      <c r="C40" s="10">
        <v>0.69216889209671595</v>
      </c>
      <c r="D40" s="10">
        <v>0.82449297971918878</v>
      </c>
      <c r="E40" s="10">
        <v>0.79475811709479727</v>
      </c>
      <c r="F40" s="10">
        <v>0.79979758039639415</v>
      </c>
      <c r="G40" s="10">
        <v>7.3777082992301818E-2</v>
      </c>
      <c r="H40" s="9"/>
      <c r="I40" s="9"/>
      <c r="J40" s="9" t="s">
        <v>21</v>
      </c>
      <c r="K40" s="10">
        <v>0.85760712339601131</v>
      </c>
      <c r="L40" s="10">
        <v>0.872975194981224</v>
      </c>
      <c r="M40" s="10">
        <v>0.84422501605946609</v>
      </c>
      <c r="N40" s="10"/>
      <c r="O40" s="10">
        <v>0.85826911147890039</v>
      </c>
      <c r="P40" s="10">
        <v>1.1746541850680669E-2</v>
      </c>
    </row>
    <row r="41" spans="1:16" x14ac:dyDescent="0.25">
      <c r="A41" s="7"/>
      <c r="B41" s="9" t="s">
        <v>22</v>
      </c>
      <c r="C41" s="10">
        <v>0.84</v>
      </c>
      <c r="D41" s="10">
        <v>0.8</v>
      </c>
      <c r="E41" s="10">
        <v>0.79249999999999987</v>
      </c>
      <c r="F41" s="10">
        <v>0.79562500000000003</v>
      </c>
      <c r="G41" s="10">
        <v>3.6876765494459146E-2</v>
      </c>
      <c r="H41" s="9"/>
      <c r="I41" s="9"/>
      <c r="J41" s="9" t="s">
        <v>22</v>
      </c>
      <c r="K41" s="10">
        <v>0.74475698579553518</v>
      </c>
      <c r="L41" s="10">
        <v>0.71445986581302334</v>
      </c>
      <c r="M41" s="10">
        <v>0.67076075984215844</v>
      </c>
      <c r="N41" s="10"/>
      <c r="O41" s="10">
        <v>0.70999253715023902</v>
      </c>
      <c r="P41" s="10">
        <v>3.0373542575425707E-2</v>
      </c>
    </row>
    <row r="42" spans="1:16" x14ac:dyDescent="0.25">
      <c r="A42" s="7"/>
      <c r="B42" s="9" t="s">
        <v>23</v>
      </c>
      <c r="C42" s="10">
        <v>0.7</v>
      </c>
      <c r="D42" s="10">
        <v>0.71372854914196571</v>
      </c>
      <c r="E42" s="10">
        <v>0.75</v>
      </c>
      <c r="F42" s="10">
        <v>0.68974166109501522</v>
      </c>
      <c r="G42" s="10">
        <v>6.6439435283892637E-2</v>
      </c>
      <c r="H42" s="9"/>
      <c r="I42" s="9"/>
      <c r="J42" s="9" t="s">
        <v>23</v>
      </c>
      <c r="K42" s="10">
        <v>0.76143293736393125</v>
      </c>
      <c r="L42" s="10">
        <v>0.78129302504109555</v>
      </c>
      <c r="M42" s="10">
        <v>0.76647843378523872</v>
      </c>
      <c r="N42" s="10"/>
      <c r="O42" s="10">
        <v>0.76973479873008843</v>
      </c>
      <c r="P42" s="10">
        <v>8.4284717921537904E-3</v>
      </c>
    </row>
    <row r="43" spans="1:16" x14ac:dyDescent="0.25">
      <c r="A43" s="7"/>
      <c r="B43" s="9" t="s">
        <v>24</v>
      </c>
      <c r="C43" s="10">
        <v>0.57410296411856476</v>
      </c>
      <c r="D43" s="10">
        <v>0.49224149171991133</v>
      </c>
      <c r="E43" s="10">
        <v>0.72930648769574946</v>
      </c>
      <c r="F43" s="10">
        <v>0.58593078394494036</v>
      </c>
      <c r="G43" s="10">
        <v>9.1933543045496724E-2</v>
      </c>
      <c r="H43" s="9"/>
      <c r="I43" s="9"/>
      <c r="J43" s="9" t="s">
        <v>24</v>
      </c>
      <c r="K43" s="10">
        <v>0.63370879581992401</v>
      </c>
      <c r="L43" s="10">
        <v>0.65430674577016046</v>
      </c>
      <c r="M43" s="10">
        <v>0.6316747728732679</v>
      </c>
      <c r="N43" s="10"/>
      <c r="O43" s="10">
        <v>0.63989677148778412</v>
      </c>
      <c r="P43" s="10">
        <v>1.02231707883266E-2</v>
      </c>
    </row>
    <row r="44" spans="1:16" x14ac:dyDescent="0.25">
      <c r="A44" s="7"/>
      <c r="B44" s="9" t="s">
        <v>25</v>
      </c>
      <c r="C44" s="10">
        <v>0.66068642745709827</v>
      </c>
      <c r="D44" s="10">
        <v>0.68587821097926716</v>
      </c>
      <c r="E44" s="10">
        <v>0.62416107382550334</v>
      </c>
      <c r="F44" s="10">
        <v>0.66768142806546726</v>
      </c>
      <c r="G44" s="10">
        <v>3.325940602287094E-2</v>
      </c>
      <c r="H44" s="9"/>
      <c r="I44" s="9"/>
      <c r="J44" s="9" t="s">
        <v>25</v>
      </c>
      <c r="K44" s="10">
        <v>0.67362634956828971</v>
      </c>
      <c r="L44" s="10">
        <v>0.66019612063282795</v>
      </c>
      <c r="M44" s="10">
        <v>0.62492916043172342</v>
      </c>
      <c r="N44" s="10"/>
      <c r="O44" s="10">
        <v>0.65291721021094695</v>
      </c>
      <c r="P44" s="10">
        <v>2.0536000262108046E-2</v>
      </c>
    </row>
    <row r="45" spans="1:16" x14ac:dyDescent="0.25">
      <c r="A45" s="7"/>
      <c r="B45" s="9" t="s">
        <v>26</v>
      </c>
      <c r="C45" s="10">
        <v>0.8</v>
      </c>
      <c r="D45" s="10">
        <v>0.70436817472698909</v>
      </c>
      <c r="E45" s="10">
        <v>0.85</v>
      </c>
      <c r="F45" s="10">
        <v>0.78478939157566308</v>
      </c>
      <c r="G45" s="10">
        <v>7.399783165448888E-2</v>
      </c>
      <c r="H45" s="9"/>
      <c r="I45" s="9"/>
      <c r="J45" s="9" t="s">
        <v>26</v>
      </c>
      <c r="K45" s="10">
        <v>0.87604726181497572</v>
      </c>
      <c r="L45" s="10">
        <v>0.83963179207081629</v>
      </c>
      <c r="M45" s="10">
        <v>0.79978074798667642</v>
      </c>
      <c r="N45" s="10"/>
      <c r="O45" s="10">
        <v>0.83848660062415614</v>
      </c>
      <c r="P45" s="10">
        <v>3.1146202341726669E-2</v>
      </c>
    </row>
    <row r="46" spans="1:16" x14ac:dyDescent="0.25">
      <c r="A46" s="7"/>
      <c r="B46" s="9" t="s">
        <v>27</v>
      </c>
      <c r="C46" s="10">
        <v>0.8</v>
      </c>
      <c r="D46" s="10">
        <v>0.74492979719188768</v>
      </c>
      <c r="E46" s="10">
        <v>0.7</v>
      </c>
      <c r="F46" s="10">
        <v>0.74830993239729582</v>
      </c>
      <c r="G46" s="10">
        <v>5.0085616553109676E-2</v>
      </c>
      <c r="H46" s="9"/>
      <c r="I46" s="9"/>
      <c r="J46" s="9" t="s">
        <v>27</v>
      </c>
      <c r="K46" s="10">
        <v>0.76544803650349114</v>
      </c>
      <c r="L46" s="10">
        <v>0.76989039473537202</v>
      </c>
      <c r="M46" s="10">
        <v>0.76459161592270142</v>
      </c>
      <c r="N46" s="10"/>
      <c r="O46" s="10">
        <v>0.76664334905385489</v>
      </c>
      <c r="P46" s="10">
        <v>2.3224761636659102E-3</v>
      </c>
    </row>
    <row r="49" spans="1:17" x14ac:dyDescent="0.25">
      <c r="A49" s="1" t="s">
        <v>31</v>
      </c>
    </row>
    <row r="51" spans="1:17" x14ac:dyDescent="0.25">
      <c r="A51" s="12" t="s">
        <v>30</v>
      </c>
      <c r="B51" s="12"/>
      <c r="C51" s="2" t="s">
        <v>29</v>
      </c>
      <c r="D51" s="2"/>
      <c r="E51" s="2"/>
      <c r="F51" s="2"/>
      <c r="G51" s="2"/>
      <c r="H51" s="12"/>
      <c r="I51" s="14" t="s">
        <v>13</v>
      </c>
      <c r="J51" s="12"/>
      <c r="K51" s="2" t="s">
        <v>28</v>
      </c>
      <c r="L51" s="2"/>
      <c r="M51" s="2"/>
      <c r="N51" s="2"/>
      <c r="O51" s="2"/>
      <c r="P51" s="2"/>
    </row>
    <row r="52" spans="1:17" x14ac:dyDescent="0.25">
      <c r="A52" s="12"/>
      <c r="B52" s="12"/>
      <c r="C52" s="12" t="s">
        <v>2</v>
      </c>
      <c r="D52" s="12" t="s">
        <v>3</v>
      </c>
      <c r="E52" s="12" t="s">
        <v>4</v>
      </c>
      <c r="F52" s="12" t="s">
        <v>5</v>
      </c>
      <c r="G52" s="12" t="s">
        <v>6</v>
      </c>
      <c r="H52" s="12"/>
      <c r="I52" s="12"/>
      <c r="J52" s="12"/>
      <c r="K52" s="12" t="s">
        <v>2</v>
      </c>
      <c r="L52" s="12" t="s">
        <v>3</v>
      </c>
      <c r="M52" s="12" t="s">
        <v>4</v>
      </c>
      <c r="N52" s="12" t="s">
        <v>5</v>
      </c>
      <c r="O52" s="12" t="s">
        <v>6</v>
      </c>
      <c r="P52" s="12"/>
    </row>
    <row r="53" spans="1:17" x14ac:dyDescent="0.25">
      <c r="A53" s="12"/>
      <c r="B53" s="31" t="s">
        <v>15</v>
      </c>
      <c r="C53" s="13">
        <v>1</v>
      </c>
      <c r="D53" s="13">
        <v>1</v>
      </c>
      <c r="E53" s="13">
        <v>1</v>
      </c>
      <c r="F53" s="13">
        <v>1</v>
      </c>
      <c r="G53" s="13">
        <v>0</v>
      </c>
      <c r="H53" s="12"/>
      <c r="I53" s="12"/>
      <c r="J53" s="31" t="s">
        <v>15</v>
      </c>
      <c r="K53" s="13">
        <v>1</v>
      </c>
      <c r="L53" s="13">
        <v>1</v>
      </c>
      <c r="M53" s="13">
        <v>1</v>
      </c>
      <c r="N53" s="13">
        <v>1</v>
      </c>
      <c r="O53" s="13">
        <v>0</v>
      </c>
      <c r="P53" s="12"/>
      <c r="Q53" s="18">
        <v>1</v>
      </c>
    </row>
    <row r="54" spans="1:17" x14ac:dyDescent="0.25">
      <c r="A54" s="12"/>
      <c r="B54" s="31" t="s">
        <v>73</v>
      </c>
      <c r="C54" s="13">
        <v>0.88749999999999996</v>
      </c>
      <c r="D54" s="13">
        <v>0.85130890052356001</v>
      </c>
      <c r="E54" s="13">
        <v>0.8</v>
      </c>
      <c r="F54" s="13">
        <v>0.84626963350785334</v>
      </c>
      <c r="G54" s="13">
        <v>3.6280871495435248E-2</v>
      </c>
      <c r="H54" s="12"/>
      <c r="I54" s="12"/>
      <c r="J54" s="31" t="s">
        <v>73</v>
      </c>
      <c r="K54" s="13">
        <v>0.75</v>
      </c>
      <c r="L54" s="13">
        <v>0.79</v>
      </c>
      <c r="M54" s="13">
        <v>0.85</v>
      </c>
      <c r="N54" s="13">
        <v>0.79666666666666675</v>
      </c>
      <c r="O54" s="13">
        <v>5.0332229568471651E-2</v>
      </c>
      <c r="P54" s="12"/>
      <c r="Q54" s="18">
        <f>G80</f>
        <v>0.79666666666666675</v>
      </c>
    </row>
    <row r="55" spans="1:17" x14ac:dyDescent="0.25">
      <c r="A55" s="12"/>
      <c r="B55" s="31" t="s">
        <v>74</v>
      </c>
      <c r="C55" s="13">
        <v>0.62068965517241381</v>
      </c>
      <c r="D55" s="13">
        <v>0.57999999999999996</v>
      </c>
      <c r="E55" s="13">
        <v>0.55000000000000004</v>
      </c>
      <c r="F55" s="13">
        <v>0.58356321839080461</v>
      </c>
      <c r="G55" s="13">
        <v>2.1213203435596368E-2</v>
      </c>
      <c r="H55" s="12"/>
      <c r="I55" s="12"/>
      <c r="J55" s="31" t="s">
        <v>74</v>
      </c>
      <c r="K55" s="13">
        <v>0.54655939533791198</v>
      </c>
      <c r="L55" s="13">
        <v>0.57119107307786599</v>
      </c>
      <c r="M55" s="13">
        <v>0.53077386329418796</v>
      </c>
      <c r="N55" s="13">
        <v>0.54950811056998861</v>
      </c>
      <c r="O55" s="13">
        <v>2.0369312772265301E-2</v>
      </c>
      <c r="P55" s="12"/>
      <c r="Q55" s="18">
        <f t="shared" ref="Q55:Q64" si="0">G81</f>
        <v>0.54950811056998861</v>
      </c>
    </row>
    <row r="56" spans="1:17" x14ac:dyDescent="0.25">
      <c r="A56" s="12"/>
      <c r="B56" s="31" t="s">
        <v>75</v>
      </c>
      <c r="C56" s="13">
        <v>0.73706896551724133</v>
      </c>
      <c r="D56" s="13">
        <v>0.71</v>
      </c>
      <c r="E56" s="13">
        <v>0.68</v>
      </c>
      <c r="F56" s="13">
        <v>0.70902298850574708</v>
      </c>
      <c r="G56" s="13">
        <v>2.1213203435596368E-2</v>
      </c>
      <c r="H56" s="12"/>
      <c r="I56" s="12"/>
      <c r="J56" s="31" t="s">
        <v>75</v>
      </c>
      <c r="K56" s="13">
        <v>0.75033754641263195</v>
      </c>
      <c r="L56" s="13">
        <v>0.804644412191582</v>
      </c>
      <c r="M56" s="13">
        <v>0.79546203305170304</v>
      </c>
      <c r="N56" s="13">
        <v>0.78348133055197222</v>
      </c>
      <c r="O56" s="13">
        <v>2.9068227362078931E-2</v>
      </c>
      <c r="P56" s="12"/>
      <c r="Q56" s="18">
        <f t="shared" si="0"/>
        <v>0.78348133055197222</v>
      </c>
    </row>
    <row r="57" spans="1:17" x14ac:dyDescent="0.25">
      <c r="A57" s="12"/>
      <c r="B57" s="31" t="s">
        <v>76</v>
      </c>
      <c r="C57" s="13">
        <v>0.75</v>
      </c>
      <c r="D57" s="13">
        <v>0.82</v>
      </c>
      <c r="E57" s="13">
        <v>0.79</v>
      </c>
      <c r="F57" s="13">
        <v>0.78666666666666663</v>
      </c>
      <c r="G57" s="13">
        <v>2.1213203435596368E-2</v>
      </c>
      <c r="H57" s="12"/>
      <c r="I57" s="12"/>
      <c r="J57" s="31" t="s">
        <v>76</v>
      </c>
      <c r="K57" s="13">
        <v>0.72891820378110994</v>
      </c>
      <c r="L57" s="13">
        <v>0.73456842824212409</v>
      </c>
      <c r="M57" s="13">
        <v>0.71324839405801455</v>
      </c>
      <c r="N57" s="13">
        <v>0.72557834202708282</v>
      </c>
      <c r="O57" s="13">
        <v>1.1045450276240872E-2</v>
      </c>
      <c r="P57" s="12"/>
      <c r="Q57" s="18">
        <f t="shared" si="0"/>
        <v>0.72557834202708282</v>
      </c>
    </row>
    <row r="58" spans="1:17" x14ac:dyDescent="0.25">
      <c r="A58" s="12"/>
      <c r="B58" s="31" t="s">
        <v>77</v>
      </c>
      <c r="C58" s="13">
        <v>0.65431034482758621</v>
      </c>
      <c r="D58" s="13">
        <v>0.61</v>
      </c>
      <c r="E58" s="13">
        <v>0.63</v>
      </c>
      <c r="F58" s="13">
        <v>0.63143678160919536</v>
      </c>
      <c r="G58" s="13">
        <v>1.4142135623730963E-2</v>
      </c>
      <c r="H58" s="12"/>
      <c r="I58" s="12"/>
      <c r="J58" s="31" t="s">
        <v>77</v>
      </c>
      <c r="K58" s="13">
        <v>0.76199712754621418</v>
      </c>
      <c r="L58" s="13">
        <v>0.75913862355284034</v>
      </c>
      <c r="M58" s="13">
        <v>0.76109605540499858</v>
      </c>
      <c r="N58" s="13">
        <v>0.76074393550135111</v>
      </c>
      <c r="O58" s="13">
        <v>1.4614214279057621E-3</v>
      </c>
      <c r="P58" s="12"/>
      <c r="Q58" s="18">
        <f t="shared" si="0"/>
        <v>0.76074393550135111</v>
      </c>
    </row>
    <row r="59" spans="1:17" x14ac:dyDescent="0.25">
      <c r="A59" s="12"/>
      <c r="B59" s="31" t="s">
        <v>78</v>
      </c>
      <c r="C59" s="13">
        <v>0.68068181818181805</v>
      </c>
      <c r="D59" s="13">
        <v>0.65445026178010468</v>
      </c>
      <c r="E59" s="13">
        <v>0.74846153846153896</v>
      </c>
      <c r="F59" s="13">
        <v>0.69453120614115382</v>
      </c>
      <c r="G59" s="13">
        <v>6.6476011249446923E-2</v>
      </c>
      <c r="H59" s="12"/>
      <c r="I59" s="12"/>
      <c r="J59" s="31" t="s">
        <v>78</v>
      </c>
      <c r="K59" s="13">
        <v>0.67570433296534016</v>
      </c>
      <c r="L59" s="13">
        <v>0.63622913535165926</v>
      </c>
      <c r="M59" s="13">
        <v>0.64515760621288265</v>
      </c>
      <c r="N59" s="13">
        <v>0.65236369150996065</v>
      </c>
      <c r="O59" s="13">
        <v>2.0700689738300092E-2</v>
      </c>
      <c r="P59" s="12"/>
      <c r="Q59" s="18">
        <f t="shared" si="0"/>
        <v>0.65236369150996065</v>
      </c>
    </row>
    <row r="60" spans="1:17" x14ac:dyDescent="0.25">
      <c r="A60" s="12"/>
      <c r="B60" s="31" t="s">
        <v>83</v>
      </c>
      <c r="C60" s="13">
        <v>0.62215909090909094</v>
      </c>
      <c r="D60" s="13">
        <v>0.58115183246073299</v>
      </c>
      <c r="E60" s="13">
        <v>0.63888888888888884</v>
      </c>
      <c r="F60" s="13">
        <v>0.61406660408623759</v>
      </c>
      <c r="G60" s="13">
        <v>4.0826264126099347E-2</v>
      </c>
      <c r="H60" s="12"/>
      <c r="I60" s="12"/>
      <c r="J60" s="31" t="s">
        <v>83</v>
      </c>
      <c r="K60" s="13">
        <v>0.79311320167672672</v>
      </c>
      <c r="L60" s="13">
        <v>0.82312081537502391</v>
      </c>
      <c r="M60" s="13">
        <v>0.81078948461314848</v>
      </c>
      <c r="N60" s="13">
        <v>0.80900783388829967</v>
      </c>
      <c r="O60" s="13">
        <v>1.5082935040819272E-2</v>
      </c>
      <c r="P60" s="12"/>
      <c r="Q60" s="18">
        <f t="shared" si="0"/>
        <v>0.80900783388829967</v>
      </c>
    </row>
    <row r="61" spans="1:17" x14ac:dyDescent="0.25">
      <c r="A61" s="12"/>
      <c r="B61" s="31" t="s">
        <v>79</v>
      </c>
      <c r="C61" s="13">
        <v>0.5</v>
      </c>
      <c r="D61" s="13">
        <v>0.56806282722513091</v>
      </c>
      <c r="E61" s="13">
        <v>0.55555555555555558</v>
      </c>
      <c r="F61" s="13">
        <v>0.54120612759356213</v>
      </c>
      <c r="G61" s="13">
        <v>8.8439766116991045E-3</v>
      </c>
      <c r="H61" s="12"/>
      <c r="I61" s="12"/>
      <c r="J61" s="31" t="s">
        <v>79</v>
      </c>
      <c r="K61" s="13">
        <v>0.59497239281180148</v>
      </c>
      <c r="L61" s="13">
        <v>0.5797177745534855</v>
      </c>
      <c r="M61" s="13">
        <v>0.59549303178407609</v>
      </c>
      <c r="N61" s="13">
        <v>0.59006106638312106</v>
      </c>
      <c r="O61" s="13">
        <v>8.9613353156556136E-3</v>
      </c>
      <c r="P61" s="12"/>
      <c r="Q61" s="18">
        <f t="shared" si="0"/>
        <v>0.59006106638312106</v>
      </c>
    </row>
    <row r="62" spans="1:17" x14ac:dyDescent="0.25">
      <c r="A62" s="12"/>
      <c r="B62" s="31" t="s">
        <v>80</v>
      </c>
      <c r="C62" s="13">
        <v>0.5</v>
      </c>
      <c r="D62" s="13">
        <v>0.6</v>
      </c>
      <c r="E62" s="13">
        <v>0.503</v>
      </c>
      <c r="F62" s="13">
        <v>0.53333333333333299</v>
      </c>
      <c r="G62" s="13">
        <v>7.0710678118654738E-2</v>
      </c>
      <c r="H62" s="12"/>
      <c r="I62" s="12"/>
      <c r="J62" s="31" t="s">
        <v>80</v>
      </c>
      <c r="K62" s="13">
        <v>0.44</v>
      </c>
      <c r="L62" s="13">
        <v>0.52</v>
      </c>
      <c r="M62" s="13">
        <v>0.38</v>
      </c>
      <c r="N62" s="13">
        <v>0.4466666666666666</v>
      </c>
      <c r="O62" s="13">
        <v>7.0237691685685402E-2</v>
      </c>
      <c r="P62" s="12"/>
      <c r="Q62" s="18">
        <f t="shared" si="0"/>
        <v>0.4466666666666666</v>
      </c>
    </row>
    <row r="63" spans="1:17" x14ac:dyDescent="0.25">
      <c r="A63" s="12"/>
      <c r="B63" s="31" t="s">
        <v>81</v>
      </c>
      <c r="C63" s="13">
        <v>0.8</v>
      </c>
      <c r="D63" s="13">
        <v>0.98</v>
      </c>
      <c r="E63" s="13">
        <v>0.85</v>
      </c>
      <c r="F63" s="13">
        <v>0.87666666666666659</v>
      </c>
      <c r="G63" s="13">
        <v>9.1923881554251172E-2</v>
      </c>
      <c r="H63" s="12"/>
      <c r="I63" s="12"/>
      <c r="J63" s="31" t="s">
        <v>81</v>
      </c>
      <c r="K63" s="13">
        <v>0.9717830211627343</v>
      </c>
      <c r="L63" s="13">
        <v>0.96001241988068053</v>
      </c>
      <c r="M63" s="13">
        <v>0.97004541423696022</v>
      </c>
      <c r="N63" s="13">
        <v>0.96728028509345831</v>
      </c>
      <c r="O63" s="13">
        <v>6.3538349066098627E-3</v>
      </c>
      <c r="P63" s="12"/>
      <c r="Q63" s="18">
        <f t="shared" si="0"/>
        <v>0.96728028509345831</v>
      </c>
    </row>
    <row r="64" spans="1:17" x14ac:dyDescent="0.25">
      <c r="A64" s="12"/>
      <c r="B64" s="31" t="s">
        <v>82</v>
      </c>
      <c r="C64" s="13">
        <v>0.42413793103448277</v>
      </c>
      <c r="D64" s="13">
        <v>0.52</v>
      </c>
      <c r="E64" s="13">
        <v>0.48</v>
      </c>
      <c r="F64" s="13">
        <v>0.47471264367816096</v>
      </c>
      <c r="G64" s="13">
        <v>2.8284271247461926E-2</v>
      </c>
      <c r="H64" s="12"/>
      <c r="I64" s="12"/>
      <c r="J64" s="31" t="s">
        <v>82</v>
      </c>
      <c r="K64" s="13">
        <v>0.33455372536207828</v>
      </c>
      <c r="L64" s="13">
        <v>0.36294179377858327</v>
      </c>
      <c r="M64" s="13">
        <v>0.356034649833188</v>
      </c>
      <c r="N64" s="13">
        <v>0.35117672299128316</v>
      </c>
      <c r="O64" s="13">
        <v>1.4804397894072438E-2</v>
      </c>
      <c r="P64" s="12"/>
      <c r="Q64" s="18">
        <f t="shared" si="0"/>
        <v>0.35117672299128316</v>
      </c>
    </row>
    <row r="65" spans="1:16" x14ac:dyDescent="0.25">
      <c r="A65" s="12"/>
      <c r="B65" s="12"/>
      <c r="C65" s="12"/>
      <c r="D65" s="12"/>
      <c r="E65" s="12"/>
      <c r="F65" s="13"/>
      <c r="G65" s="13"/>
      <c r="H65" s="12"/>
      <c r="I65" s="12"/>
      <c r="J65" s="12"/>
      <c r="K65" s="12"/>
      <c r="L65" s="12"/>
      <c r="M65" s="12"/>
      <c r="N65" s="12"/>
      <c r="O65" s="12"/>
      <c r="P65" s="12"/>
    </row>
    <row r="67" spans="1:16" x14ac:dyDescent="0.25">
      <c r="A67" s="1" t="s">
        <v>32</v>
      </c>
    </row>
    <row r="68" spans="1:16" x14ac:dyDescent="0.25">
      <c r="C68" s="15" t="s">
        <v>2</v>
      </c>
      <c r="D68" s="15" t="s">
        <v>3</v>
      </c>
      <c r="E68" s="15" t="s">
        <v>4</v>
      </c>
      <c r="F68" s="15" t="s">
        <v>5</v>
      </c>
      <c r="G68" s="15" t="s">
        <v>6</v>
      </c>
      <c r="H68" s="15"/>
      <c r="I68" s="15"/>
      <c r="J68" s="15"/>
      <c r="K68" s="15"/>
      <c r="L68" s="15"/>
      <c r="M68" s="15"/>
      <c r="N68" s="15"/>
    </row>
    <row r="69" spans="1:16" x14ac:dyDescent="0.25">
      <c r="B69" s="15" t="s">
        <v>34</v>
      </c>
      <c r="C69">
        <v>0.5</v>
      </c>
      <c r="D69">
        <v>0.6</v>
      </c>
      <c r="E69">
        <v>0.56999999999999995</v>
      </c>
      <c r="F69" s="17">
        <v>0.56000000000000005</v>
      </c>
      <c r="G69" s="17">
        <v>0.05</v>
      </c>
    </row>
    <row r="70" spans="1:16" x14ac:dyDescent="0.25">
      <c r="B70" s="15" t="s">
        <v>33</v>
      </c>
      <c r="C70">
        <v>0.64</v>
      </c>
      <c r="D70">
        <v>0.68</v>
      </c>
      <c r="E70">
        <v>0.62</v>
      </c>
      <c r="F70" s="15">
        <v>0.65</v>
      </c>
      <c r="G70" s="15">
        <v>0.03</v>
      </c>
      <c r="I70" s="15"/>
      <c r="J70" s="15"/>
    </row>
    <row r="71" spans="1:16" x14ac:dyDescent="0.25">
      <c r="B71" s="15" t="s">
        <v>35</v>
      </c>
      <c r="C71">
        <v>0.77</v>
      </c>
      <c r="D71">
        <v>0.84</v>
      </c>
      <c r="E71">
        <v>0.86</v>
      </c>
      <c r="F71" s="15">
        <v>0.82</v>
      </c>
      <c r="G71" s="15">
        <v>0.05</v>
      </c>
      <c r="I71" s="15"/>
      <c r="J71" s="15"/>
    </row>
    <row r="72" spans="1:16" x14ac:dyDescent="0.25">
      <c r="B72" s="15" t="s">
        <v>36</v>
      </c>
      <c r="C72">
        <v>0.99</v>
      </c>
      <c r="D72">
        <v>0.97</v>
      </c>
      <c r="E72">
        <v>0.88</v>
      </c>
      <c r="F72" s="15">
        <v>0.95</v>
      </c>
      <c r="G72" s="15">
        <v>0.06</v>
      </c>
      <c r="I72" s="15"/>
      <c r="J72" s="15"/>
    </row>
    <row r="73" spans="1:16" x14ac:dyDescent="0.25">
      <c r="B73" s="15" t="s">
        <v>37</v>
      </c>
      <c r="C73">
        <v>1.02</v>
      </c>
      <c r="D73">
        <v>1.1599999999999999</v>
      </c>
      <c r="E73">
        <v>1.2</v>
      </c>
      <c r="F73" s="15">
        <v>1.1299999999999999</v>
      </c>
      <c r="G73" s="15">
        <v>0.09</v>
      </c>
      <c r="I73" s="15"/>
      <c r="J73" s="15"/>
    </row>
    <row r="74" spans="1:16" x14ac:dyDescent="0.25">
      <c r="I74" s="15"/>
      <c r="J74" s="15"/>
    </row>
    <row r="75" spans="1:16" x14ac:dyDescent="0.25">
      <c r="A75" s="1" t="s">
        <v>38</v>
      </c>
    </row>
    <row r="77" spans="1:16" x14ac:dyDescent="0.25">
      <c r="C77" s="3" t="s">
        <v>29</v>
      </c>
      <c r="D77" s="3"/>
      <c r="E77" s="3"/>
      <c r="F77" s="2" t="s">
        <v>28</v>
      </c>
      <c r="G77" s="2"/>
      <c r="H77" s="2"/>
      <c r="I77" s="2"/>
      <c r="J77" s="2"/>
      <c r="K77" s="2"/>
    </row>
    <row r="78" spans="1:16" ht="60" x14ac:dyDescent="0.25">
      <c r="C78" s="15" t="s">
        <v>5</v>
      </c>
      <c r="F78" s="6" t="s">
        <v>39</v>
      </c>
      <c r="G78" s="6" t="s">
        <v>40</v>
      </c>
      <c r="H78" s="6" t="s">
        <v>41</v>
      </c>
      <c r="I78" s="6" t="s">
        <v>42</v>
      </c>
      <c r="J78" s="6" t="s">
        <v>43</v>
      </c>
    </row>
    <row r="79" spans="1:16" x14ac:dyDescent="0.25">
      <c r="B79" s="15" t="s">
        <v>15</v>
      </c>
      <c r="C79" s="16">
        <v>1</v>
      </c>
      <c r="F79" s="18">
        <v>1</v>
      </c>
      <c r="G79" s="18">
        <v>1</v>
      </c>
      <c r="H79" s="18">
        <v>1</v>
      </c>
      <c r="I79" s="18">
        <v>1</v>
      </c>
      <c r="J79" s="18">
        <v>1</v>
      </c>
    </row>
    <row r="80" spans="1:16" x14ac:dyDescent="0.25">
      <c r="B80" s="15" t="s">
        <v>73</v>
      </c>
      <c r="C80" s="16">
        <v>0.84626963350785334</v>
      </c>
      <c r="F80" s="18">
        <v>0.78333333299999997</v>
      </c>
      <c r="G80" s="18">
        <v>0.79666666666666675</v>
      </c>
      <c r="H80" s="18">
        <v>0.90507561625371391</v>
      </c>
      <c r="I80" s="18">
        <v>0.84</v>
      </c>
      <c r="J80" s="18">
        <v>0.98735927800288348</v>
      </c>
    </row>
    <row r="81" spans="2:10" x14ac:dyDescent="0.25">
      <c r="B81" s="15" t="s">
        <v>74</v>
      </c>
      <c r="C81" s="16">
        <v>0.58356321839080461</v>
      </c>
      <c r="F81" s="18">
        <v>0.64221292100000005</v>
      </c>
      <c r="G81" s="18">
        <v>0.54950811056998861</v>
      </c>
      <c r="H81" s="18">
        <v>0.66989189766176127</v>
      </c>
      <c r="I81" s="18">
        <v>0.806666667</v>
      </c>
      <c r="J81" s="18">
        <v>0.80878519709834329</v>
      </c>
    </row>
    <row r="82" spans="2:10" x14ac:dyDescent="0.25">
      <c r="B82" s="15" t="s">
        <v>75</v>
      </c>
      <c r="C82" s="16">
        <v>0.70902298850574708</v>
      </c>
      <c r="F82" s="18">
        <v>0.77247729399999998</v>
      </c>
      <c r="G82" s="18">
        <v>0.78348133055197222</v>
      </c>
      <c r="H82" s="18">
        <v>0.76686460665154543</v>
      </c>
      <c r="I82" s="18">
        <v>0.86586744999999998</v>
      </c>
      <c r="J82" s="18">
        <v>0.84894408266368149</v>
      </c>
    </row>
    <row r="83" spans="2:10" x14ac:dyDescent="0.25">
      <c r="B83" s="15" t="s">
        <v>76</v>
      </c>
      <c r="C83" s="16">
        <v>0.78666666666666663</v>
      </c>
      <c r="F83" s="18">
        <v>0.63094576999999996</v>
      </c>
      <c r="G83" s="18">
        <v>0.72557834202708282</v>
      </c>
      <c r="H83" s="18">
        <v>0.78045190713616008</v>
      </c>
      <c r="I83" s="18">
        <v>0.91585908400000005</v>
      </c>
      <c r="J83" s="18">
        <v>0.96050031306040273</v>
      </c>
    </row>
    <row r="84" spans="2:10" x14ac:dyDescent="0.25">
      <c r="B84" s="15" t="s">
        <v>77</v>
      </c>
      <c r="C84" s="16">
        <v>0.63143678160919536</v>
      </c>
      <c r="F84" s="18">
        <v>0.57209033200000003</v>
      </c>
      <c r="G84" s="18">
        <v>0.76074393550135111</v>
      </c>
      <c r="H84" s="18">
        <v>0.64054275619894252</v>
      </c>
      <c r="I84" s="18">
        <v>0.83245912799999999</v>
      </c>
      <c r="J84" s="18">
        <v>0.94952548708507167</v>
      </c>
    </row>
    <row r="85" spans="2:10" x14ac:dyDescent="0.25">
      <c r="B85" s="15" t="s">
        <v>78</v>
      </c>
      <c r="C85" s="16">
        <v>0.69453120614115382</v>
      </c>
      <c r="F85" s="18">
        <v>0.67137995299999997</v>
      </c>
      <c r="G85" s="18">
        <v>0.65236369150996065</v>
      </c>
      <c r="H85" s="18">
        <v>0.71719648343959763</v>
      </c>
      <c r="I85" s="18">
        <v>0.80962942900000001</v>
      </c>
      <c r="J85" s="18">
        <v>0.84026228944007297</v>
      </c>
    </row>
    <row r="86" spans="2:10" x14ac:dyDescent="0.25">
      <c r="B86" s="15" t="s">
        <v>83</v>
      </c>
      <c r="C86" s="16">
        <v>0.61406660408623759</v>
      </c>
      <c r="F86" s="18">
        <v>0.56063850900000001</v>
      </c>
      <c r="G86" s="18">
        <v>0.80900783388829967</v>
      </c>
      <c r="H86" s="18">
        <v>0.81888798760593973</v>
      </c>
      <c r="I86" s="18">
        <v>0.84893358100000005</v>
      </c>
      <c r="J86" s="18">
        <v>0.9459824584070623</v>
      </c>
    </row>
    <row r="87" spans="2:10" x14ac:dyDescent="0.25">
      <c r="B87" s="15" t="s">
        <v>79</v>
      </c>
      <c r="C87" s="16">
        <v>0.54120612759356213</v>
      </c>
      <c r="F87" s="18">
        <v>0.45691799500000002</v>
      </c>
      <c r="G87" s="18">
        <v>0.59006106638312106</v>
      </c>
      <c r="H87" s="18">
        <v>0.64911069447447967</v>
      </c>
      <c r="I87" s="18">
        <v>0.794264898</v>
      </c>
      <c r="J87" s="18">
        <v>0.85980509138422656</v>
      </c>
    </row>
    <row r="88" spans="2:10" x14ac:dyDescent="0.25">
      <c r="B88" s="15" t="s">
        <v>80</v>
      </c>
      <c r="C88" s="16">
        <v>0.53333333333333299</v>
      </c>
      <c r="F88" s="18">
        <v>0.43518642800000001</v>
      </c>
      <c r="G88" s="18">
        <v>0.4466666666666666</v>
      </c>
      <c r="H88" s="18">
        <v>0.56991371450500272</v>
      </c>
      <c r="I88" s="18">
        <v>0.64433333299999995</v>
      </c>
      <c r="J88" s="18">
        <v>0.82975954335441593</v>
      </c>
    </row>
    <row r="89" spans="2:10" x14ac:dyDescent="0.25">
      <c r="B89" s="15" t="s">
        <v>81</v>
      </c>
      <c r="C89" s="16">
        <v>0.87666666666666659</v>
      </c>
      <c r="F89" s="18">
        <v>0.78031211599999994</v>
      </c>
      <c r="G89" s="18">
        <v>0.96728028509345831</v>
      </c>
      <c r="H89" s="18">
        <v>0.87673708222214719</v>
      </c>
      <c r="I89" s="18">
        <v>0.86764982700000004</v>
      </c>
      <c r="J89" s="18">
        <v>0.98418601318678312</v>
      </c>
    </row>
    <row r="90" spans="2:10" x14ac:dyDescent="0.25">
      <c r="B90" s="15" t="s">
        <v>82</v>
      </c>
      <c r="C90" s="16">
        <v>0.47471264367816096</v>
      </c>
      <c r="F90" s="18">
        <v>0.252984918</v>
      </c>
      <c r="G90" s="18">
        <v>0.35117672299128316</v>
      </c>
      <c r="H90" s="18">
        <v>0.59923979817542039</v>
      </c>
      <c r="I90" s="18">
        <v>0.65092016399999997</v>
      </c>
      <c r="J90" s="18">
        <v>0.75787744989703809</v>
      </c>
    </row>
  </sheetData>
  <sortState ref="B6:G17">
    <sortCondition ref="B6:B17"/>
  </sortState>
  <mergeCells count="8">
    <mergeCell ref="F77:K77"/>
    <mergeCell ref="C32:G32"/>
    <mergeCell ref="K32:P32"/>
    <mergeCell ref="C51:G51"/>
    <mergeCell ref="K51:P51"/>
    <mergeCell ref="C3:G3"/>
    <mergeCell ref="C21:G21"/>
    <mergeCell ref="I21:M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A32" sqref="A32"/>
    </sheetView>
  </sheetViews>
  <sheetFormatPr defaultRowHeight="15" x14ac:dyDescent="0.25"/>
  <cols>
    <col min="1" max="1" width="52.85546875" bestFit="1" customWidth="1"/>
    <col min="2" max="2" width="16.42578125" customWidth="1"/>
    <col min="3" max="3" width="13.85546875" customWidth="1"/>
    <col min="4" max="4" width="13.7109375" customWidth="1"/>
    <col min="5" max="5" width="10.140625" bestFit="1" customWidth="1"/>
  </cols>
  <sheetData>
    <row r="1" spans="1:6" x14ac:dyDescent="0.25">
      <c r="A1" s="19" t="s">
        <v>0</v>
      </c>
      <c r="B1" s="20"/>
      <c r="C1" s="20"/>
      <c r="D1" s="20"/>
      <c r="E1" s="20"/>
      <c r="F1" s="20"/>
    </row>
    <row r="3" spans="1:6" x14ac:dyDescent="0.25">
      <c r="B3" s="2" t="s">
        <v>46</v>
      </c>
      <c r="C3" s="2"/>
      <c r="D3" s="21"/>
      <c r="E3" s="20" t="s">
        <v>47</v>
      </c>
      <c r="F3" s="20"/>
    </row>
    <row r="4" spans="1:6" x14ac:dyDescent="0.25">
      <c r="A4" s="20"/>
      <c r="B4" s="20" t="s">
        <v>5</v>
      </c>
      <c r="C4" s="20" t="s">
        <v>45</v>
      </c>
      <c r="D4" s="20"/>
      <c r="E4" s="20"/>
      <c r="F4" s="20"/>
    </row>
    <row r="5" spans="1:6" x14ac:dyDescent="0.25">
      <c r="A5" s="31" t="s">
        <v>15</v>
      </c>
      <c r="B5" s="22">
        <v>1</v>
      </c>
      <c r="C5" s="22">
        <v>0</v>
      </c>
      <c r="D5" s="22"/>
      <c r="E5" s="22">
        <v>1</v>
      </c>
      <c r="F5" s="20"/>
    </row>
    <row r="6" spans="1:6" x14ac:dyDescent="0.25">
      <c r="A6" s="31" t="s">
        <v>84</v>
      </c>
      <c r="B6" s="22">
        <v>0.91</v>
      </c>
      <c r="C6" s="22">
        <v>2.7734477551976371E-2</v>
      </c>
      <c r="D6" s="22"/>
      <c r="E6" s="22">
        <v>0.94596875432672911</v>
      </c>
      <c r="F6" s="20"/>
    </row>
    <row r="7" spans="1:6" x14ac:dyDescent="0.25">
      <c r="A7" s="31" t="s">
        <v>85</v>
      </c>
      <c r="B7" s="22">
        <v>0.71195245825131259</v>
      </c>
      <c r="C7" s="22">
        <v>6.6624880347291388E-2</v>
      </c>
      <c r="D7" s="22"/>
      <c r="E7" s="22">
        <v>0.77966326530612251</v>
      </c>
      <c r="F7" s="20"/>
    </row>
    <row r="8" spans="1:6" x14ac:dyDescent="0.25">
      <c r="A8" s="31" t="s">
        <v>86</v>
      </c>
      <c r="B8" s="22">
        <v>0.61907666666666661</v>
      </c>
      <c r="C8" s="22">
        <v>1.0137831786596822E-2</v>
      </c>
      <c r="D8" s="22"/>
      <c r="E8" s="22">
        <v>0.69871838681858733</v>
      </c>
      <c r="F8" s="20"/>
    </row>
    <row r="9" spans="1:6" x14ac:dyDescent="0.25">
      <c r="A9" s="31" t="s">
        <v>87</v>
      </c>
      <c r="B9" s="22">
        <v>0.61750377596175965</v>
      </c>
      <c r="C9" s="22">
        <v>7.6411257760031727E-3</v>
      </c>
      <c r="D9" s="22"/>
      <c r="E9" s="22">
        <v>0.7779320985739735</v>
      </c>
      <c r="F9" s="20"/>
    </row>
    <row r="10" spans="1:6" x14ac:dyDescent="0.25">
      <c r="A10" s="31" t="s">
        <v>88</v>
      </c>
      <c r="B10" s="22">
        <v>0.66034001308902945</v>
      </c>
      <c r="C10" s="22">
        <v>3.9510014542977381E-2</v>
      </c>
      <c r="D10" s="22"/>
      <c r="E10" s="22">
        <v>0.87858163265306122</v>
      </c>
      <c r="F10" s="20"/>
    </row>
    <row r="11" spans="1:6" x14ac:dyDescent="0.25">
      <c r="A11" s="31" t="s">
        <v>89</v>
      </c>
      <c r="B11" s="22">
        <v>0.71864055100000002</v>
      </c>
      <c r="C11" s="22">
        <v>5.078992802742645E-3</v>
      </c>
      <c r="D11" s="22"/>
      <c r="E11" s="22">
        <v>0.87929773643812115</v>
      </c>
      <c r="F11" s="20"/>
    </row>
    <row r="12" spans="1:6" x14ac:dyDescent="0.25">
      <c r="A12" s="31" t="s">
        <v>90</v>
      </c>
      <c r="B12" s="22">
        <v>0.75297043100000005</v>
      </c>
      <c r="C12" s="22">
        <v>1.834918079813553E-2</v>
      </c>
      <c r="D12" s="22"/>
      <c r="E12" s="22">
        <v>0.8334173544425969</v>
      </c>
      <c r="F12" s="20"/>
    </row>
    <row r="13" spans="1:6" x14ac:dyDescent="0.25">
      <c r="A13" s="31" t="s">
        <v>91</v>
      </c>
      <c r="B13" s="22">
        <v>0.79875894599999997</v>
      </c>
      <c r="C13" s="22">
        <v>1.1387181761478507E-2</v>
      </c>
      <c r="D13" s="22"/>
      <c r="E13" s="22">
        <v>0.79185193328051273</v>
      </c>
      <c r="F13" s="20"/>
    </row>
    <row r="14" spans="1:6" x14ac:dyDescent="0.25">
      <c r="A14" s="31" t="s">
        <v>92</v>
      </c>
      <c r="B14" s="22">
        <v>0.65</v>
      </c>
      <c r="C14" s="22">
        <v>1.4564142951625752E-3</v>
      </c>
      <c r="D14" s="22"/>
      <c r="E14" s="22">
        <v>0.78246191489082551</v>
      </c>
      <c r="F14" s="20"/>
    </row>
    <row r="15" spans="1:6" x14ac:dyDescent="0.25">
      <c r="A15" s="31" t="s">
        <v>93</v>
      </c>
      <c r="B15" s="22">
        <v>0.83</v>
      </c>
      <c r="C15" s="22">
        <v>2.206035960141747E-2</v>
      </c>
      <c r="D15" s="22"/>
      <c r="E15" s="22">
        <v>0.87332806790028294</v>
      </c>
      <c r="F15" s="20"/>
    </row>
    <row r="16" spans="1:6" x14ac:dyDescent="0.25">
      <c r="A16" s="31" t="s">
        <v>94</v>
      </c>
      <c r="B16" s="22">
        <v>0.53485000000000005</v>
      </c>
      <c r="C16" s="22">
        <v>2.2096258355960026E-2</v>
      </c>
      <c r="D16" s="22"/>
      <c r="E16" s="22">
        <v>0.63431379382658903</v>
      </c>
      <c r="F16" s="20"/>
    </row>
    <row r="18" spans="1:9" x14ac:dyDescent="0.25">
      <c r="A18" s="19" t="s">
        <v>12</v>
      </c>
    </row>
    <row r="20" spans="1:9" x14ac:dyDescent="0.25">
      <c r="B20" s="23"/>
      <c r="C20" s="23"/>
      <c r="D20" s="23"/>
      <c r="E20" s="23"/>
      <c r="F20" s="23"/>
      <c r="G20" s="23"/>
      <c r="H20" s="23"/>
      <c r="I20" s="20"/>
    </row>
    <row r="21" spans="1:9" x14ac:dyDescent="0.25">
      <c r="A21" s="23" t="s">
        <v>48</v>
      </c>
      <c r="B21" s="23"/>
      <c r="C21" s="23"/>
      <c r="D21" s="23"/>
      <c r="E21" s="23"/>
      <c r="F21" s="23"/>
      <c r="G21" s="23"/>
      <c r="H21" s="23"/>
      <c r="I21" s="20"/>
    </row>
    <row r="22" spans="1:9" x14ac:dyDescent="0.25">
      <c r="A22" s="23" t="s">
        <v>1</v>
      </c>
      <c r="B22" s="23"/>
      <c r="C22" s="2" t="s">
        <v>46</v>
      </c>
      <c r="D22" s="2"/>
      <c r="E22" s="24"/>
      <c r="F22" s="23"/>
      <c r="G22" s="23"/>
      <c r="H22" s="23"/>
      <c r="I22" s="20"/>
    </row>
    <row r="23" spans="1:9" x14ac:dyDescent="0.25">
      <c r="A23" s="23"/>
      <c r="B23" s="23"/>
      <c r="C23" s="23" t="s">
        <v>5</v>
      </c>
      <c r="D23" s="23" t="s">
        <v>45</v>
      </c>
      <c r="E23" s="23"/>
      <c r="I23" s="20"/>
    </row>
    <row r="24" spans="1:9" x14ac:dyDescent="0.25">
      <c r="A24" s="23">
        <v>0</v>
      </c>
      <c r="B24" s="23"/>
      <c r="C24" s="27">
        <v>1</v>
      </c>
      <c r="D24" s="27">
        <v>0</v>
      </c>
      <c r="E24" s="27"/>
      <c r="I24" s="20"/>
    </row>
    <row r="25" spans="1:9" x14ac:dyDescent="0.25">
      <c r="A25" s="23">
        <v>5</v>
      </c>
      <c r="B25" s="23"/>
      <c r="C25" s="27">
        <v>0.91195414897999394</v>
      </c>
      <c r="D25" s="27">
        <v>0.12254650977095188</v>
      </c>
      <c r="E25" s="27"/>
      <c r="I25" s="20"/>
    </row>
    <row r="26" spans="1:9" x14ac:dyDescent="0.25">
      <c r="A26" s="23">
        <v>10</v>
      </c>
      <c r="B26" s="23"/>
      <c r="C26" s="27">
        <v>0.85787306789891282</v>
      </c>
      <c r="D26" s="27">
        <v>0.18263247051917542</v>
      </c>
      <c r="E26" s="27"/>
      <c r="I26" s="20"/>
    </row>
    <row r="27" spans="1:9" x14ac:dyDescent="0.25">
      <c r="A27" s="23">
        <v>20</v>
      </c>
      <c r="B27" s="23"/>
      <c r="C27" s="27">
        <v>0.67852293609351255</v>
      </c>
      <c r="D27" s="27">
        <v>9.1607327194101917E-2</v>
      </c>
      <c r="E27" s="27"/>
      <c r="I27" s="20"/>
    </row>
    <row r="28" spans="1:9" x14ac:dyDescent="0.25">
      <c r="A28" s="23">
        <v>30</v>
      </c>
      <c r="B28" s="23"/>
      <c r="C28" s="27">
        <v>0.47747123456367985</v>
      </c>
      <c r="D28" s="27">
        <v>5.6185832232927509E-2</v>
      </c>
      <c r="E28" s="27"/>
      <c r="I28" s="20"/>
    </row>
    <row r="29" spans="1:9" x14ac:dyDescent="0.25">
      <c r="A29" s="23">
        <v>40</v>
      </c>
      <c r="B29" s="23"/>
      <c r="C29" s="27">
        <v>0.29852708374378351</v>
      </c>
      <c r="D29" s="27">
        <v>6.9335961930637013E-2</v>
      </c>
      <c r="E29" s="27"/>
      <c r="I29" s="20"/>
    </row>
    <row r="30" spans="1:9" x14ac:dyDescent="0.25">
      <c r="A30" s="20"/>
      <c r="B30" s="20"/>
      <c r="C30" s="20"/>
      <c r="D30" s="20"/>
      <c r="E30" s="20"/>
      <c r="F30" s="20"/>
      <c r="G30" s="20"/>
      <c r="H30" s="20"/>
      <c r="I30" s="20"/>
    </row>
    <row r="31" spans="1:9" x14ac:dyDescent="0.25">
      <c r="A31" s="20"/>
      <c r="B31" s="20"/>
      <c r="C31" s="20"/>
      <c r="D31" s="20"/>
      <c r="E31" s="20"/>
      <c r="F31" s="20"/>
      <c r="G31" s="20"/>
      <c r="H31" s="20"/>
      <c r="I31" s="20"/>
    </row>
    <row r="32" spans="1:9" x14ac:dyDescent="0.25">
      <c r="B32" s="23"/>
      <c r="C32" s="23"/>
      <c r="D32" s="23"/>
      <c r="E32" s="23"/>
      <c r="F32" s="23"/>
      <c r="G32" s="23"/>
      <c r="H32" s="23"/>
      <c r="I32" s="20"/>
    </row>
    <row r="33" spans="1:9" x14ac:dyDescent="0.25">
      <c r="A33" s="23" t="s">
        <v>49</v>
      </c>
      <c r="B33" s="20"/>
      <c r="C33" s="20"/>
      <c r="D33" s="20"/>
      <c r="E33" s="20"/>
      <c r="F33" s="20"/>
      <c r="G33" s="20"/>
      <c r="H33" s="20"/>
      <c r="I33" s="20"/>
    </row>
    <row r="34" spans="1:9" x14ac:dyDescent="0.25">
      <c r="A34" s="23" t="s">
        <v>1</v>
      </c>
      <c r="B34" s="23"/>
      <c r="C34" s="2" t="s">
        <v>46</v>
      </c>
      <c r="D34" s="2"/>
      <c r="E34" s="24"/>
      <c r="F34" s="23"/>
      <c r="G34" s="23"/>
      <c r="H34" s="23"/>
      <c r="I34" s="20"/>
    </row>
    <row r="35" spans="1:9" x14ac:dyDescent="0.25">
      <c r="A35" s="23"/>
      <c r="B35" s="23"/>
      <c r="C35" s="23" t="s">
        <v>5</v>
      </c>
      <c r="D35" s="23" t="s">
        <v>45</v>
      </c>
      <c r="E35" s="23"/>
      <c r="F35" s="23"/>
      <c r="I35" s="20"/>
    </row>
    <row r="36" spans="1:9" x14ac:dyDescent="0.25">
      <c r="A36" s="23">
        <v>0</v>
      </c>
      <c r="B36" s="23"/>
      <c r="C36" s="26">
        <v>1</v>
      </c>
      <c r="D36" s="26">
        <v>0</v>
      </c>
      <c r="E36" s="23"/>
      <c r="F36" s="23"/>
      <c r="I36" s="20"/>
    </row>
    <row r="37" spans="1:9" x14ac:dyDescent="0.25">
      <c r="A37" s="23">
        <v>5</v>
      </c>
      <c r="B37" s="23"/>
      <c r="C37" s="26">
        <v>0.78922084246408575</v>
      </c>
      <c r="D37" s="26">
        <v>3.5755370691965778E-2</v>
      </c>
      <c r="E37" s="23"/>
      <c r="F37" s="23"/>
      <c r="I37" s="20"/>
    </row>
    <row r="38" spans="1:9" x14ac:dyDescent="0.25">
      <c r="A38" s="23">
        <v>10</v>
      </c>
      <c r="B38" s="23"/>
      <c r="C38" s="26">
        <v>0.65926467007548084</v>
      </c>
      <c r="D38" s="26">
        <v>8.6476015820447574E-2</v>
      </c>
      <c r="E38" s="23"/>
      <c r="F38" s="23"/>
      <c r="I38" s="20"/>
    </row>
    <row r="39" spans="1:9" x14ac:dyDescent="0.25">
      <c r="A39" s="23">
        <v>20</v>
      </c>
      <c r="B39" s="23"/>
      <c r="C39" s="26">
        <v>0.43333333333333329</v>
      </c>
      <c r="D39" s="26">
        <v>7.6376261582597846E-2</v>
      </c>
      <c r="E39" s="23"/>
      <c r="F39" s="23"/>
      <c r="I39" s="20"/>
    </row>
    <row r="40" spans="1:9" x14ac:dyDescent="0.25">
      <c r="A40" s="23">
        <v>30</v>
      </c>
      <c r="B40" s="23"/>
      <c r="C40" s="26">
        <v>0.18333333333333335</v>
      </c>
      <c r="D40" s="26">
        <v>2.5166114784235548E-2</v>
      </c>
      <c r="E40" s="23"/>
      <c r="F40" s="23"/>
      <c r="I40" s="20"/>
    </row>
    <row r="41" spans="1:9" x14ac:dyDescent="0.25">
      <c r="A41" s="23">
        <v>40</v>
      </c>
      <c r="B41" s="23"/>
      <c r="C41" s="26">
        <v>0.15</v>
      </c>
      <c r="D41" s="26">
        <v>3.0000000000000082E-2</v>
      </c>
      <c r="E41" s="23"/>
      <c r="F41" s="23"/>
      <c r="I41" s="20"/>
    </row>
  </sheetData>
  <mergeCells count="3">
    <mergeCell ref="B3:C3"/>
    <mergeCell ref="C22:D22"/>
    <mergeCell ref="C34:D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H4" sqref="H4"/>
    </sheetView>
  </sheetViews>
  <sheetFormatPr defaultRowHeight="15" x14ac:dyDescent="0.25"/>
  <cols>
    <col min="2" max="2" width="25.85546875" bestFit="1" customWidth="1"/>
    <col min="3" max="3" width="23.5703125" bestFit="1" customWidth="1"/>
    <col min="4" max="4" width="12.5703125" bestFit="1" customWidth="1"/>
    <col min="8" max="8" width="11.5703125" bestFit="1" customWidth="1"/>
    <col min="9" max="9" width="10.5703125" bestFit="1" customWidth="1"/>
  </cols>
  <sheetData>
    <row r="1" spans="1:9" x14ac:dyDescent="0.25">
      <c r="A1" s="19" t="s">
        <v>44</v>
      </c>
    </row>
    <row r="3" spans="1:9" x14ac:dyDescent="0.25">
      <c r="A3" s="23"/>
      <c r="B3" s="23"/>
      <c r="C3" s="23"/>
      <c r="D3" s="23"/>
      <c r="E3" s="23"/>
      <c r="F3" s="23"/>
      <c r="G3" s="23"/>
      <c r="H3" s="23"/>
      <c r="I3" s="23"/>
    </row>
    <row r="4" spans="1:9" ht="17.25" x14ac:dyDescent="0.25">
      <c r="A4" s="23"/>
      <c r="B4" s="23"/>
      <c r="C4" s="2" t="s">
        <v>28</v>
      </c>
      <c r="D4" s="2"/>
      <c r="E4" s="23"/>
      <c r="F4" s="23" t="s">
        <v>52</v>
      </c>
      <c r="G4" s="23"/>
      <c r="H4" s="23" t="s">
        <v>109</v>
      </c>
      <c r="I4" s="23"/>
    </row>
    <row r="5" spans="1:9" x14ac:dyDescent="0.25">
      <c r="A5" s="23" t="s">
        <v>50</v>
      </c>
      <c r="B5" s="23"/>
      <c r="C5" s="23" t="s">
        <v>5</v>
      </c>
      <c r="D5" s="23" t="s">
        <v>6</v>
      </c>
      <c r="E5" s="23"/>
      <c r="F5" s="23"/>
      <c r="G5" s="23"/>
      <c r="H5" s="23" t="s">
        <v>5</v>
      </c>
      <c r="I5" s="23" t="s">
        <v>6</v>
      </c>
    </row>
    <row r="6" spans="1:9" x14ac:dyDescent="0.25">
      <c r="A6" s="23" t="s">
        <v>51</v>
      </c>
      <c r="B6" s="23"/>
      <c r="C6" s="23">
        <v>1</v>
      </c>
      <c r="D6" s="23">
        <v>0</v>
      </c>
      <c r="E6" s="23"/>
      <c r="F6" s="23">
        <v>1</v>
      </c>
      <c r="G6" s="23"/>
      <c r="H6" s="23">
        <v>0</v>
      </c>
      <c r="I6" s="23">
        <v>0</v>
      </c>
    </row>
    <row r="7" spans="1:9" x14ac:dyDescent="0.25">
      <c r="A7" s="23" t="s">
        <v>95</v>
      </c>
      <c r="B7" s="23"/>
      <c r="C7" s="27">
        <v>0.74477122200000001</v>
      </c>
      <c r="D7" s="27">
        <v>1.7940606000000001E-2</v>
      </c>
      <c r="E7" s="23"/>
      <c r="F7" s="27">
        <v>0.58674999999999999</v>
      </c>
      <c r="G7" s="23"/>
      <c r="H7" s="25">
        <v>9179846.2980000004</v>
      </c>
      <c r="I7" s="25">
        <v>425950.87469999999</v>
      </c>
    </row>
    <row r="8" spans="1:9" x14ac:dyDescent="0.25">
      <c r="A8" s="23" t="s">
        <v>96</v>
      </c>
      <c r="B8" s="23"/>
      <c r="C8" s="27">
        <v>0.79978194400000002</v>
      </c>
      <c r="D8" s="27">
        <v>3.0256903000000002E-2</v>
      </c>
      <c r="E8" s="23"/>
      <c r="F8" s="27">
        <v>0.86534999999999995</v>
      </c>
      <c r="G8" s="23"/>
      <c r="H8" s="25">
        <v>1285834.9550000001</v>
      </c>
      <c r="I8" s="25">
        <v>432393.69270000001</v>
      </c>
    </row>
    <row r="9" spans="1:9" x14ac:dyDescent="0.25">
      <c r="A9" s="23" t="s">
        <v>97</v>
      </c>
      <c r="B9" s="23"/>
      <c r="C9" s="27">
        <v>0.68079566999999996</v>
      </c>
      <c r="D9" s="27">
        <v>2.1540851E-2</v>
      </c>
      <c r="E9" s="23"/>
      <c r="F9" s="27">
        <v>0.61346000000000001</v>
      </c>
      <c r="G9" s="23"/>
      <c r="H9" s="25">
        <v>12048279.43</v>
      </c>
      <c r="I9" s="25">
        <v>2149055.7439999999</v>
      </c>
    </row>
    <row r="10" spans="1:9" x14ac:dyDescent="0.25">
      <c r="A10" s="23" t="s">
        <v>98</v>
      </c>
      <c r="B10" s="23"/>
      <c r="C10" s="27">
        <v>0.69944782000000005</v>
      </c>
      <c r="D10" s="27">
        <v>3.8987360999999998E-2</v>
      </c>
      <c r="E10" s="23"/>
      <c r="F10" s="27">
        <v>0.63297000000000003</v>
      </c>
      <c r="G10" s="23"/>
      <c r="H10" s="25">
        <v>8049065.2149999999</v>
      </c>
      <c r="I10" s="25">
        <v>1437292.91</v>
      </c>
    </row>
    <row r="11" spans="1:9" x14ac:dyDescent="0.25">
      <c r="A11" s="23" t="s">
        <v>99</v>
      </c>
      <c r="B11" s="23"/>
      <c r="C11" s="27">
        <v>0.84037880399999998</v>
      </c>
      <c r="D11" s="27">
        <v>1.9860567999999999E-2</v>
      </c>
      <c r="E11" s="23"/>
      <c r="F11" s="27">
        <v>0.89731000000000005</v>
      </c>
      <c r="G11" s="23"/>
      <c r="H11" s="25">
        <v>538392.58149999997</v>
      </c>
      <c r="I11" s="25">
        <v>313783.54680000001</v>
      </c>
    </row>
    <row r="12" spans="1:9" x14ac:dyDescent="0.25">
      <c r="A12" s="23" t="s">
        <v>100</v>
      </c>
      <c r="B12" s="23"/>
      <c r="C12" s="27">
        <v>0.70259587599999995</v>
      </c>
      <c r="D12" s="27">
        <v>1.3993176E-2</v>
      </c>
      <c r="E12" s="23"/>
      <c r="F12" s="27">
        <v>0.71233999999999997</v>
      </c>
      <c r="G12" s="23"/>
      <c r="H12" s="25">
        <v>5088334.0149999997</v>
      </c>
      <c r="I12" s="25">
        <v>1027584.07</v>
      </c>
    </row>
    <row r="13" spans="1:9" x14ac:dyDescent="0.25">
      <c r="A13" s="23" t="s">
        <v>101</v>
      </c>
      <c r="B13" s="23"/>
      <c r="C13" s="27">
        <v>0.73937209800000003</v>
      </c>
      <c r="D13" s="27">
        <v>8.0628980000000006E-3</v>
      </c>
      <c r="E13" s="23"/>
      <c r="F13" s="27">
        <v>0.61346000000000001</v>
      </c>
      <c r="G13" s="23"/>
      <c r="H13" s="25">
        <v>6329338.8150000004</v>
      </c>
      <c r="I13" s="25">
        <v>1291060.1839999999</v>
      </c>
    </row>
    <row r="14" spans="1:9" x14ac:dyDescent="0.25">
      <c r="A14" s="23" t="s">
        <v>102</v>
      </c>
      <c r="B14" s="23"/>
      <c r="C14" s="27">
        <v>0.78314948799999995</v>
      </c>
      <c r="D14" s="27">
        <v>4.0455653000000001E-2</v>
      </c>
      <c r="E14" s="23"/>
      <c r="F14" s="27">
        <v>0.82228000000000001</v>
      </c>
      <c r="G14" s="23"/>
      <c r="H14" s="25">
        <v>8100719.0949999997</v>
      </c>
      <c r="I14" s="25">
        <v>125126.8361</v>
      </c>
    </row>
    <row r="15" spans="1:9" x14ac:dyDescent="0.25">
      <c r="A15" s="23" t="s">
        <v>103</v>
      </c>
      <c r="B15" s="23"/>
      <c r="C15" s="27">
        <v>0.85523325800000005</v>
      </c>
      <c r="D15" s="27">
        <v>1.2141722000000001E-2</v>
      </c>
      <c r="E15" s="23"/>
      <c r="F15" s="27">
        <v>0.89731000000000005</v>
      </c>
      <c r="G15" s="23"/>
      <c r="H15" s="25">
        <v>2482257.9640000002</v>
      </c>
      <c r="I15" s="25">
        <v>409329.39520000003</v>
      </c>
    </row>
    <row r="16" spans="1:9" x14ac:dyDescent="0.25">
      <c r="A16" s="23" t="s">
        <v>104</v>
      </c>
      <c r="B16" s="23"/>
      <c r="C16" s="27">
        <v>0.84355019200000003</v>
      </c>
      <c r="D16" s="27">
        <v>8.6617050000000004E-3</v>
      </c>
      <c r="E16" s="23"/>
      <c r="F16" s="27">
        <v>0.89731000000000005</v>
      </c>
      <c r="G16" s="23"/>
      <c r="H16" s="25">
        <v>2435660.0929999999</v>
      </c>
      <c r="I16" s="25">
        <v>366900.20110000001</v>
      </c>
    </row>
    <row r="17" spans="1:9" x14ac:dyDescent="0.25">
      <c r="A17" s="23" t="s">
        <v>105</v>
      </c>
      <c r="B17" s="23"/>
      <c r="C17" s="27">
        <v>0.80252795300000002</v>
      </c>
      <c r="D17" s="27">
        <v>1.1243110000000001E-2</v>
      </c>
      <c r="E17" s="23"/>
      <c r="F17" s="27">
        <v>0.77305000000000001</v>
      </c>
      <c r="G17" s="23"/>
      <c r="H17" s="25">
        <v>3593903.23</v>
      </c>
      <c r="I17" s="25">
        <v>287160.9768</v>
      </c>
    </row>
    <row r="18" spans="1:9" x14ac:dyDescent="0.25">
      <c r="A18" s="23" t="s">
        <v>106</v>
      </c>
      <c r="B18" s="23"/>
      <c r="C18" s="27">
        <v>0.83537076099999996</v>
      </c>
      <c r="D18" s="27">
        <v>2.3922684999999999E-2</v>
      </c>
      <c r="E18" s="23"/>
      <c r="F18" s="27">
        <v>0.89730734099999998</v>
      </c>
      <c r="G18" s="23"/>
      <c r="H18" s="25">
        <v>281069.15909999999</v>
      </c>
      <c r="I18" s="25">
        <v>74507.699779999995</v>
      </c>
    </row>
    <row r="19" spans="1:9" x14ac:dyDescent="0.25">
      <c r="A19" s="23" t="s">
        <v>107</v>
      </c>
      <c r="B19" s="23"/>
      <c r="C19" s="27">
        <v>0.89736183899999999</v>
      </c>
      <c r="D19" s="27">
        <v>2.9750372000000001E-2</v>
      </c>
      <c r="E19" s="23"/>
      <c r="F19" s="27">
        <v>0.89730734099999998</v>
      </c>
      <c r="G19" s="23"/>
      <c r="H19" s="25">
        <v>87935.512640000001</v>
      </c>
      <c r="I19" s="25">
        <v>54767.965909999999</v>
      </c>
    </row>
    <row r="20" spans="1:9" x14ac:dyDescent="0.25">
      <c r="A20" s="23" t="s">
        <v>108</v>
      </c>
      <c r="B20" s="23"/>
      <c r="C20" s="27">
        <v>0.75403197499999997</v>
      </c>
      <c r="D20" s="27">
        <v>5.5445222000000002E-2</v>
      </c>
      <c r="E20" s="23"/>
      <c r="F20" s="27">
        <v>0.74730048000000004</v>
      </c>
      <c r="G20" s="23"/>
      <c r="H20" s="25">
        <v>4841402.8540000003</v>
      </c>
      <c r="I20" s="25">
        <v>413708.20559999999</v>
      </c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>
      <selection activeCell="A4" sqref="A4:A22"/>
    </sheetView>
  </sheetViews>
  <sheetFormatPr defaultRowHeight="15" x14ac:dyDescent="0.25"/>
  <cols>
    <col min="1" max="1" width="26" bestFit="1" customWidth="1"/>
    <col min="8" max="8" width="26" bestFit="1" customWidth="1"/>
    <col min="16" max="16" width="15.7109375" customWidth="1"/>
    <col min="17" max="17" width="20.5703125" customWidth="1"/>
  </cols>
  <sheetData>
    <row r="1" spans="1:20" s="31" customFormat="1" x14ac:dyDescent="0.25">
      <c r="A1" s="19" t="s">
        <v>44</v>
      </c>
    </row>
    <row r="2" spans="1:20" x14ac:dyDescent="0.25">
      <c r="B2" s="2" t="s">
        <v>127</v>
      </c>
      <c r="C2" s="2"/>
      <c r="D2" s="2"/>
      <c r="E2" s="2"/>
      <c r="F2" s="2"/>
      <c r="I2" s="2" t="s">
        <v>128</v>
      </c>
      <c r="J2" s="2"/>
      <c r="K2" s="2"/>
      <c r="L2" s="2"/>
      <c r="M2" s="2"/>
      <c r="O2" s="33"/>
      <c r="R2" s="3"/>
      <c r="S2" s="3"/>
      <c r="T2" s="3"/>
    </row>
    <row r="3" spans="1:20" x14ac:dyDescent="0.25">
      <c r="A3" s="29"/>
      <c r="B3" s="29"/>
      <c r="C3" s="2" t="s">
        <v>14</v>
      </c>
      <c r="D3" s="2"/>
      <c r="E3" s="2"/>
      <c r="G3" s="29"/>
      <c r="H3" s="29"/>
      <c r="I3" s="2" t="s">
        <v>14</v>
      </c>
      <c r="J3" s="2"/>
      <c r="K3" s="2"/>
      <c r="L3" s="29"/>
      <c r="O3" s="33"/>
      <c r="P3" s="2" t="s">
        <v>132</v>
      </c>
      <c r="Q3" s="2"/>
    </row>
    <row r="4" spans="1:20" x14ac:dyDescent="0.25">
      <c r="A4" s="29" t="s">
        <v>50</v>
      </c>
      <c r="B4" s="29"/>
      <c r="C4" s="29" t="s">
        <v>5</v>
      </c>
      <c r="D4" s="29" t="s">
        <v>6</v>
      </c>
      <c r="E4" s="29"/>
      <c r="F4" s="29" t="s">
        <v>47</v>
      </c>
      <c r="G4" s="29"/>
      <c r="H4" s="29" t="s">
        <v>50</v>
      </c>
      <c r="I4" s="29" t="s">
        <v>5</v>
      </c>
      <c r="J4" s="29" t="s">
        <v>6</v>
      </c>
      <c r="K4" s="29"/>
      <c r="L4" s="29"/>
      <c r="O4" s="33" t="s">
        <v>50</v>
      </c>
      <c r="P4" s="33" t="s">
        <v>5</v>
      </c>
      <c r="Q4" s="33" t="s">
        <v>6</v>
      </c>
    </row>
    <row r="5" spans="1:20" x14ac:dyDescent="0.25">
      <c r="A5" s="29" t="s">
        <v>51</v>
      </c>
      <c r="B5" s="29"/>
      <c r="C5" s="30">
        <v>1</v>
      </c>
      <c r="D5" s="30">
        <v>0</v>
      </c>
      <c r="E5" s="29"/>
      <c r="F5" s="30">
        <v>1</v>
      </c>
      <c r="G5" s="30"/>
      <c r="H5" s="31" t="s">
        <v>51</v>
      </c>
      <c r="I5" s="30">
        <v>1</v>
      </c>
      <c r="J5" s="30">
        <v>0</v>
      </c>
      <c r="K5" s="29"/>
      <c r="L5" s="30"/>
      <c r="O5" s="33">
        <v>288</v>
      </c>
      <c r="P5" s="34">
        <v>0</v>
      </c>
      <c r="Q5" s="34">
        <v>0</v>
      </c>
    </row>
    <row r="6" spans="1:20" x14ac:dyDescent="0.25">
      <c r="A6" s="29" t="s">
        <v>110</v>
      </c>
      <c r="B6" s="29"/>
      <c r="C6" s="30">
        <v>0.75137671335727874</v>
      </c>
      <c r="D6" s="30">
        <v>7.2647688833363741E-2</v>
      </c>
      <c r="E6" s="29"/>
      <c r="F6" s="30">
        <v>0.89769269238673211</v>
      </c>
      <c r="G6" s="30"/>
      <c r="H6" s="31" t="s">
        <v>110</v>
      </c>
      <c r="I6" s="30">
        <v>0.79338225488324243</v>
      </c>
      <c r="J6" s="30">
        <v>2.867250234244843E-2</v>
      </c>
      <c r="K6" s="29"/>
      <c r="L6" s="30"/>
      <c r="O6" s="33" t="s">
        <v>53</v>
      </c>
      <c r="P6" s="34">
        <v>1.2795698924731182E-2</v>
      </c>
      <c r="Q6" s="34">
        <v>0.01</v>
      </c>
    </row>
    <row r="7" spans="1:20" x14ac:dyDescent="0.25">
      <c r="A7" s="29" t="s">
        <v>111</v>
      </c>
      <c r="B7" s="29"/>
      <c r="C7" s="30">
        <v>0.52067346173306928</v>
      </c>
      <c r="D7" s="30">
        <v>2.5573508764529955E-2</v>
      </c>
      <c r="E7" s="29"/>
      <c r="F7" s="30">
        <v>0.89114882944025142</v>
      </c>
      <c r="G7" s="30"/>
      <c r="H7" s="31" t="s">
        <v>111</v>
      </c>
      <c r="I7" s="30">
        <v>0.82912343362363961</v>
      </c>
      <c r="J7" s="30">
        <v>2.3557468788951038E-2</v>
      </c>
      <c r="K7" s="29"/>
      <c r="L7" s="30"/>
      <c r="O7" s="33" t="s">
        <v>62</v>
      </c>
      <c r="P7" s="34">
        <v>2.3709677419354837E-2</v>
      </c>
      <c r="Q7" s="34">
        <v>1.4999999999999999E-2</v>
      </c>
    </row>
    <row r="8" spans="1:20" x14ac:dyDescent="0.25">
      <c r="A8" s="29" t="s">
        <v>112</v>
      </c>
      <c r="B8" s="29"/>
      <c r="C8" s="30">
        <v>0.59751199276124933</v>
      </c>
      <c r="D8" s="30">
        <v>1.6358178443900386E-2</v>
      </c>
      <c r="E8" s="29"/>
      <c r="F8" s="30">
        <v>0.88846993023864429</v>
      </c>
      <c r="G8" s="30"/>
      <c r="H8" s="31" t="s">
        <v>112</v>
      </c>
      <c r="I8" s="30">
        <v>0.78580310921564267</v>
      </c>
      <c r="J8" s="30">
        <v>1.8373443953678188E-2</v>
      </c>
      <c r="K8" s="29"/>
      <c r="L8" s="30"/>
      <c r="O8" s="33" t="s">
        <v>63</v>
      </c>
      <c r="P8" s="34">
        <v>9.7473118279569892E-2</v>
      </c>
      <c r="Q8" s="34">
        <v>0.01</v>
      </c>
    </row>
    <row r="9" spans="1:20" x14ac:dyDescent="0.25">
      <c r="A9" s="29" t="s">
        <v>113</v>
      </c>
      <c r="B9" s="29"/>
      <c r="C9" s="30">
        <v>0.57444549244022058</v>
      </c>
      <c r="D9" s="30">
        <v>2.49975906626629E-2</v>
      </c>
      <c r="E9" s="29"/>
      <c r="F9" s="30">
        <v>0.89521957632216376</v>
      </c>
      <c r="G9" s="30"/>
      <c r="H9" s="31" t="s">
        <v>113</v>
      </c>
      <c r="I9" s="30">
        <v>0.81931841521322257</v>
      </c>
      <c r="J9" s="30">
        <v>1.8312811693489771E-2</v>
      </c>
      <c r="K9" s="29"/>
      <c r="L9" s="30"/>
      <c r="O9" s="33" t="s">
        <v>54</v>
      </c>
      <c r="P9" s="34">
        <v>7.9408602150537605E-2</v>
      </c>
      <c r="Q9" s="34">
        <v>1.4999999999999999E-2</v>
      </c>
    </row>
    <row r="10" spans="1:20" x14ac:dyDescent="0.25">
      <c r="A10" s="29" t="s">
        <v>114</v>
      </c>
      <c r="B10" s="29"/>
      <c r="C10" s="30">
        <v>0.58951215854513561</v>
      </c>
      <c r="D10" s="30">
        <v>9.3015105523621376E-3</v>
      </c>
      <c r="E10" s="29"/>
      <c r="F10" s="30">
        <v>0.89498718326808024</v>
      </c>
      <c r="G10" s="30"/>
      <c r="H10" s="31" t="s">
        <v>114</v>
      </c>
      <c r="I10" s="30">
        <v>0.83032711214706101</v>
      </c>
      <c r="J10" s="30">
        <v>9.7225722794572131E-3</v>
      </c>
      <c r="K10" s="29"/>
      <c r="L10" s="30"/>
      <c r="O10" s="33" t="s">
        <v>55</v>
      </c>
      <c r="P10" s="34">
        <v>0.10499999999999997</v>
      </c>
      <c r="Q10" s="34">
        <v>0.03</v>
      </c>
    </row>
    <row r="11" spans="1:20" x14ac:dyDescent="0.25">
      <c r="A11" s="29" t="s">
        <v>115</v>
      </c>
      <c r="B11" s="29"/>
      <c r="C11" s="30">
        <v>0.84272773078781416</v>
      </c>
      <c r="D11" s="30">
        <v>0.05</v>
      </c>
      <c r="E11" s="29"/>
      <c r="F11" s="30">
        <v>0.89037919207032901</v>
      </c>
      <c r="G11" s="30"/>
      <c r="H11" s="31" t="s">
        <v>115</v>
      </c>
      <c r="I11" s="30">
        <v>0.84</v>
      </c>
      <c r="J11" s="30">
        <v>3.2113446233213119E-2</v>
      </c>
      <c r="K11" s="29"/>
      <c r="L11" s="30"/>
      <c r="O11" s="33" t="s">
        <v>64</v>
      </c>
      <c r="P11" s="34">
        <v>0</v>
      </c>
      <c r="Q11" s="34">
        <v>3.0000000000000001E-3</v>
      </c>
    </row>
    <row r="12" spans="1:20" x14ac:dyDescent="0.25">
      <c r="A12" s="29" t="s">
        <v>116</v>
      </c>
      <c r="B12" s="29"/>
      <c r="C12" s="30">
        <v>0.72092333488655735</v>
      </c>
      <c r="D12" s="30">
        <v>2.7065057666296768E-2</v>
      </c>
      <c r="E12" s="29"/>
      <c r="F12" s="30">
        <v>0.8966124877484174</v>
      </c>
      <c r="G12" s="30"/>
      <c r="H12" s="31" t="s">
        <v>116</v>
      </c>
      <c r="I12" s="30">
        <v>0.82172575437833439</v>
      </c>
      <c r="J12" s="30">
        <v>3.361832459999603E-3</v>
      </c>
      <c r="K12" s="29"/>
      <c r="L12" s="30"/>
      <c r="O12" s="33" t="s">
        <v>56</v>
      </c>
      <c r="P12" s="34">
        <v>0.10499999999999997</v>
      </c>
      <c r="Q12" s="34">
        <v>0.01</v>
      </c>
    </row>
    <row r="13" spans="1:20" x14ac:dyDescent="0.25">
      <c r="A13" s="29" t="s">
        <v>117</v>
      </c>
      <c r="B13" s="29"/>
      <c r="C13" s="30">
        <v>0.7017066577523885</v>
      </c>
      <c r="D13" s="30">
        <v>2.7089959881273801E-2</v>
      </c>
      <c r="E13" s="29"/>
      <c r="F13" s="30">
        <v>0.89691842209761052</v>
      </c>
      <c r="G13" s="30"/>
      <c r="H13" s="31" t="s">
        <v>117</v>
      </c>
      <c r="I13" s="30">
        <v>0.75377235378835616</v>
      </c>
      <c r="J13" s="30">
        <v>2.6348690833254685E-2</v>
      </c>
      <c r="K13" s="29"/>
      <c r="L13" s="30"/>
      <c r="O13" s="33" t="s">
        <v>57</v>
      </c>
      <c r="P13" s="34">
        <v>7.6021505376344084E-2</v>
      </c>
      <c r="Q13" s="34">
        <v>0.02</v>
      </c>
    </row>
    <row r="14" spans="1:20" x14ac:dyDescent="0.25">
      <c r="A14" s="29" t="s">
        <v>118</v>
      </c>
      <c r="B14" s="29"/>
      <c r="C14" s="30">
        <v>0.71797657023796035</v>
      </c>
      <c r="D14" s="30">
        <v>2.8182973698042499E-2</v>
      </c>
      <c r="E14" s="29"/>
      <c r="F14" s="30">
        <v>0.89409174774854505</v>
      </c>
      <c r="G14" s="30"/>
      <c r="H14" s="31" t="s">
        <v>118</v>
      </c>
      <c r="I14" s="30">
        <v>0.78255662354646249</v>
      </c>
      <c r="J14" s="30">
        <v>2.3232003010602267E-2</v>
      </c>
      <c r="K14" s="29"/>
      <c r="L14" s="30"/>
      <c r="O14" s="33" t="s">
        <v>58</v>
      </c>
      <c r="P14" s="34">
        <v>0</v>
      </c>
      <c r="Q14" s="34">
        <v>1E-3</v>
      </c>
    </row>
    <row r="15" spans="1:20" x14ac:dyDescent="0.25">
      <c r="A15" s="29" t="s">
        <v>119</v>
      </c>
      <c r="B15" s="29"/>
      <c r="C15" s="30">
        <v>0.56451505834540361</v>
      </c>
      <c r="D15" s="30">
        <v>3.6973325358564776E-2</v>
      </c>
      <c r="E15" s="29"/>
      <c r="F15" s="30">
        <v>0.75067502335563252</v>
      </c>
      <c r="G15" s="30"/>
      <c r="H15" s="31" t="s">
        <v>119</v>
      </c>
      <c r="I15" s="30">
        <v>0.75943289448112339</v>
      </c>
      <c r="J15" s="30">
        <v>1.2890688240237437E-2</v>
      </c>
      <c r="K15" s="29"/>
      <c r="L15" s="30"/>
      <c r="O15" s="33" t="s">
        <v>65</v>
      </c>
      <c r="P15" s="34">
        <v>0</v>
      </c>
      <c r="Q15" s="34">
        <v>2E-3</v>
      </c>
    </row>
    <row r="16" spans="1:20" x14ac:dyDescent="0.25">
      <c r="A16" s="29" t="s">
        <v>120</v>
      </c>
      <c r="B16" s="29"/>
      <c r="C16" s="30">
        <v>0.51665799999999995</v>
      </c>
      <c r="D16" s="30">
        <v>2.7957421043806559E-2</v>
      </c>
      <c r="E16" s="29"/>
      <c r="F16" s="30">
        <v>0.73144255962991722</v>
      </c>
      <c r="G16" s="30"/>
      <c r="H16" s="31" t="s">
        <v>120</v>
      </c>
      <c r="I16" s="30">
        <v>0.66814499999999999</v>
      </c>
      <c r="J16" s="30">
        <v>3.2004722638681461E-2</v>
      </c>
      <c r="K16" s="29"/>
      <c r="L16" s="30"/>
      <c r="O16" s="33" t="s">
        <v>59</v>
      </c>
      <c r="P16" s="34">
        <v>5.6075268817204281E-2</v>
      </c>
      <c r="Q16" s="34">
        <v>0.02</v>
      </c>
    </row>
    <row r="17" spans="1:17" x14ac:dyDescent="0.25">
      <c r="A17" s="29" t="s">
        <v>121</v>
      </c>
      <c r="B17" s="29"/>
      <c r="C17" s="30">
        <v>0.7024591347018001</v>
      </c>
      <c r="D17" s="30">
        <v>1.7141308053450575E-2</v>
      </c>
      <c r="E17" s="29"/>
      <c r="F17" s="30">
        <v>0.81111839841077815</v>
      </c>
      <c r="G17" s="30"/>
      <c r="H17" s="31" t="s">
        <v>121</v>
      </c>
      <c r="I17" s="30">
        <v>0.78636585155797101</v>
      </c>
      <c r="J17" s="30">
        <v>3.8352248856998346E-3</v>
      </c>
      <c r="K17" s="29"/>
      <c r="L17" s="30"/>
      <c r="O17" s="33" t="s">
        <v>66</v>
      </c>
      <c r="P17" s="34">
        <v>4.5913978494623649E-2</v>
      </c>
      <c r="Q17" s="34">
        <v>2.3E-2</v>
      </c>
    </row>
    <row r="18" spans="1:17" x14ac:dyDescent="0.25">
      <c r="A18" s="29" t="s">
        <v>122</v>
      </c>
      <c r="B18" s="29"/>
      <c r="C18" s="30">
        <v>0.75396247681184203</v>
      </c>
      <c r="D18" s="30">
        <v>2.059401932052626E-2</v>
      </c>
      <c r="E18" s="29"/>
      <c r="F18" s="30">
        <v>0.81619917014452681</v>
      </c>
      <c r="G18" s="30"/>
      <c r="H18" s="31" t="s">
        <v>122</v>
      </c>
      <c r="I18" s="30">
        <v>0.79376391425075044</v>
      </c>
      <c r="J18" s="30">
        <v>9.990972810298402E-3</v>
      </c>
      <c r="K18" s="29"/>
      <c r="L18" s="30"/>
      <c r="O18" s="33" t="s">
        <v>60</v>
      </c>
      <c r="P18" s="34">
        <v>8.561827956989243E-2</v>
      </c>
      <c r="Q18" s="34">
        <v>0.02</v>
      </c>
    </row>
    <row r="19" spans="1:17" x14ac:dyDescent="0.25">
      <c r="A19" s="29" t="s">
        <v>123</v>
      </c>
      <c r="B19" s="29"/>
      <c r="C19" s="30">
        <v>0.66133023901928056</v>
      </c>
      <c r="D19" s="30">
        <v>4.6574907427583183E-2</v>
      </c>
      <c r="E19" s="29"/>
      <c r="F19" s="30">
        <v>0.84056110395726824</v>
      </c>
      <c r="G19" s="30"/>
      <c r="H19" s="31" t="s">
        <v>123</v>
      </c>
      <c r="I19" s="30">
        <v>0.75949624690688133</v>
      </c>
      <c r="J19" s="30">
        <v>1.6278694886579351E-2</v>
      </c>
      <c r="K19" s="29"/>
      <c r="L19" s="30"/>
      <c r="O19" s="33" t="s">
        <v>61</v>
      </c>
      <c r="P19" s="34">
        <v>5.8200000000000002E-2</v>
      </c>
      <c r="Q19" s="34">
        <v>2.5000000000000001E-2</v>
      </c>
    </row>
    <row r="20" spans="1:17" x14ac:dyDescent="0.25">
      <c r="A20" s="29" t="s">
        <v>124</v>
      </c>
      <c r="B20" s="29"/>
      <c r="C20" s="30">
        <v>0.73377338980064399</v>
      </c>
      <c r="D20" s="30">
        <v>3.6533318164484602E-2</v>
      </c>
      <c r="E20" s="29"/>
      <c r="F20" s="30">
        <v>0.80619795343743395</v>
      </c>
      <c r="G20" s="30"/>
      <c r="H20" s="31" t="s">
        <v>124</v>
      </c>
      <c r="I20" s="30">
        <v>0.75759992866091996</v>
      </c>
      <c r="J20" s="30">
        <v>2.8037766105431877E-2</v>
      </c>
      <c r="K20" s="29"/>
      <c r="L20" s="30"/>
      <c r="O20" s="33" t="s">
        <v>67</v>
      </c>
      <c r="P20" s="34">
        <v>2.5215053763440857E-2</v>
      </c>
      <c r="Q20" s="34">
        <v>2.3E-2</v>
      </c>
    </row>
    <row r="21" spans="1:17" x14ac:dyDescent="0.25">
      <c r="A21" s="29" t="s">
        <v>125</v>
      </c>
      <c r="B21" s="29"/>
      <c r="C21" s="30">
        <v>0.35032297573244303</v>
      </c>
      <c r="D21" s="30">
        <v>4.3230452743693006E-2</v>
      </c>
      <c r="E21" s="29"/>
      <c r="F21" s="30">
        <v>0.69419866842729183</v>
      </c>
      <c r="G21" s="30"/>
      <c r="H21" s="31" t="s">
        <v>125</v>
      </c>
      <c r="I21" s="30">
        <v>0.61019999999999996</v>
      </c>
      <c r="J21" s="30">
        <v>3.2612885177549664E-2</v>
      </c>
      <c r="K21" s="29"/>
      <c r="L21" s="30"/>
      <c r="O21" s="33" t="s">
        <v>131</v>
      </c>
      <c r="P21" s="34">
        <v>0.124</v>
      </c>
      <c r="Q21" s="34">
        <v>0.03</v>
      </c>
    </row>
    <row r="22" spans="1:17" x14ac:dyDescent="0.25">
      <c r="A22" s="29" t="s">
        <v>126</v>
      </c>
      <c r="B22" s="29"/>
      <c r="C22" s="30">
        <v>0.64231842093856117</v>
      </c>
      <c r="D22" s="30">
        <v>2.1928322779825732E-2</v>
      </c>
      <c r="E22" s="29"/>
      <c r="F22" s="30">
        <v>0.75023390534779555</v>
      </c>
      <c r="G22" s="30"/>
      <c r="H22" s="31" t="s">
        <v>126</v>
      </c>
      <c r="I22" s="30">
        <v>0.68079999999999996</v>
      </c>
      <c r="J22" s="30">
        <v>1.8767125490844506E-2</v>
      </c>
      <c r="K22" s="29"/>
      <c r="L22" s="30"/>
      <c r="O22" s="33" t="s">
        <v>69</v>
      </c>
      <c r="P22" s="34">
        <v>0.105</v>
      </c>
      <c r="Q22" s="34">
        <v>0.02</v>
      </c>
    </row>
    <row r="25" spans="1:17" x14ac:dyDescent="0.25">
      <c r="A25" s="19" t="s">
        <v>0</v>
      </c>
    </row>
    <row r="27" spans="1:17" x14ac:dyDescent="0.25">
      <c r="A27" s="31" t="s">
        <v>50</v>
      </c>
      <c r="B27" s="31" t="s">
        <v>70</v>
      </c>
    </row>
    <row r="28" spans="1:17" x14ac:dyDescent="0.25">
      <c r="A28" s="31" t="s">
        <v>68</v>
      </c>
      <c r="B28" s="32">
        <v>0.3438756926948488</v>
      </c>
    </row>
    <row r="29" spans="1:17" x14ac:dyDescent="0.25">
      <c r="A29" s="31" t="s">
        <v>63</v>
      </c>
      <c r="B29" s="32">
        <v>0.21478455962991727</v>
      </c>
    </row>
    <row r="30" spans="1:17" x14ac:dyDescent="0.25">
      <c r="A30" s="31" t="s">
        <v>54</v>
      </c>
      <c r="B30" s="32">
        <v>0.37047536770718215</v>
      </c>
    </row>
    <row r="31" spans="1:17" x14ac:dyDescent="0.25">
      <c r="A31" s="31" t="s">
        <v>62</v>
      </c>
      <c r="B31" s="32">
        <v>0.18615996501022891</v>
      </c>
    </row>
    <row r="32" spans="1:17" x14ac:dyDescent="0.25">
      <c r="A32" s="31" t="s">
        <v>64</v>
      </c>
      <c r="B32" s="32">
        <v>0.32077408388194317</v>
      </c>
    </row>
    <row r="33" spans="1:2" x14ac:dyDescent="0.25">
      <c r="A33" s="31" t="s">
        <v>57</v>
      </c>
      <c r="B33" s="32">
        <v>0.30547502472294463</v>
      </c>
    </row>
    <row r="34" spans="1:2" x14ac:dyDescent="0.25">
      <c r="A34" s="31" t="s">
        <v>55</v>
      </c>
      <c r="B34" s="32">
        <v>0.29095793747739496</v>
      </c>
    </row>
    <row r="35" spans="1:2" x14ac:dyDescent="0.25">
      <c r="A35" s="31" t="s">
        <v>69</v>
      </c>
      <c r="B35" s="32">
        <v>0.10791548440923437</v>
      </c>
    </row>
    <row r="36" spans="1:2" x14ac:dyDescent="0.25">
      <c r="A36" s="31" t="s">
        <v>71</v>
      </c>
      <c r="B36" s="32">
        <v>0.17923086493798768</v>
      </c>
    </row>
    <row r="37" spans="1:2" x14ac:dyDescent="0.25">
      <c r="A37" s="31" t="s">
        <v>60</v>
      </c>
      <c r="B37" s="32">
        <v>0.19521176434522203</v>
      </c>
    </row>
    <row r="38" spans="1:2" x14ac:dyDescent="0.25">
      <c r="A38" s="31" t="s">
        <v>56</v>
      </c>
      <c r="B38" s="32">
        <v>0.10865926370897805</v>
      </c>
    </row>
    <row r="39" spans="1:2" x14ac:dyDescent="0.25">
      <c r="A39" s="31" t="s">
        <v>61</v>
      </c>
      <c r="B39" s="32">
        <v>0.1761151775105847</v>
      </c>
    </row>
    <row r="40" spans="1:2" x14ac:dyDescent="0.25">
      <c r="A40" s="31" t="s">
        <v>59</v>
      </c>
      <c r="B40" s="32">
        <v>0.17568915286186004</v>
      </c>
    </row>
    <row r="41" spans="1:2" x14ac:dyDescent="0.25">
      <c r="A41" s="31" t="s">
        <v>72</v>
      </c>
      <c r="B41" s="32">
        <v>7.2424563636789951E-2</v>
      </c>
    </row>
    <row r="42" spans="1:2" x14ac:dyDescent="0.25">
      <c r="A42" s="31" t="s">
        <v>53</v>
      </c>
      <c r="B42" s="32">
        <v>0.14631597902945337</v>
      </c>
    </row>
    <row r="43" spans="1:2" x14ac:dyDescent="0.25">
      <c r="A43" s="31" t="s">
        <v>65</v>
      </c>
      <c r="B43" s="32">
        <v>6.2236693332684778E-2</v>
      </c>
    </row>
    <row r="44" spans="1:2" x14ac:dyDescent="0.25">
      <c r="A44" s="31" t="s">
        <v>58</v>
      </c>
      <c r="B44" s="32">
        <v>4.7651461282514851E-2</v>
      </c>
    </row>
    <row r="45" spans="1:2" x14ac:dyDescent="0.25">
      <c r="A45" s="33" t="s">
        <v>51</v>
      </c>
      <c r="B45" s="32">
        <v>0</v>
      </c>
    </row>
  </sheetData>
  <mergeCells count="5">
    <mergeCell ref="C3:E3"/>
    <mergeCell ref="I3:K3"/>
    <mergeCell ref="B2:F2"/>
    <mergeCell ref="I2:M2"/>
    <mergeCell ref="P3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D32" sqref="D32"/>
    </sheetView>
  </sheetViews>
  <sheetFormatPr defaultRowHeight="15" x14ac:dyDescent="0.25"/>
  <cols>
    <col min="1" max="1" width="22.85546875" bestFit="1" customWidth="1"/>
  </cols>
  <sheetData>
    <row r="1" spans="1:6" x14ac:dyDescent="0.25">
      <c r="A1" s="19" t="s">
        <v>44</v>
      </c>
    </row>
    <row r="2" spans="1:6" s="52" customFormat="1" x14ac:dyDescent="0.25">
      <c r="A2" s="28" t="s">
        <v>15</v>
      </c>
    </row>
    <row r="3" spans="1:6" ht="17.25" x14ac:dyDescent="0.25">
      <c r="A3" s="35" t="s">
        <v>1</v>
      </c>
      <c r="B3" s="2" t="s">
        <v>134</v>
      </c>
      <c r="C3" s="2"/>
      <c r="D3" s="2"/>
      <c r="E3" s="2"/>
      <c r="F3" s="2"/>
    </row>
    <row r="4" spans="1:6" x14ac:dyDescent="0.25">
      <c r="A4" s="35"/>
      <c r="B4" s="52" t="s">
        <v>2</v>
      </c>
      <c r="C4" s="52" t="s">
        <v>3</v>
      </c>
      <c r="D4" s="52" t="s">
        <v>4</v>
      </c>
      <c r="E4" s="52" t="s">
        <v>5</v>
      </c>
      <c r="F4" s="52" t="s">
        <v>6</v>
      </c>
    </row>
    <row r="5" spans="1:6" x14ac:dyDescent="0.25">
      <c r="A5" s="35">
        <v>10</v>
      </c>
      <c r="B5" s="53">
        <v>7.9</v>
      </c>
      <c r="C5" s="53">
        <v>7.9</v>
      </c>
      <c r="D5" s="53">
        <v>36.6</v>
      </c>
      <c r="E5" s="53">
        <v>17.5</v>
      </c>
      <c r="F5" s="53">
        <v>17</v>
      </c>
    </row>
    <row r="6" spans="1:6" x14ac:dyDescent="0.25">
      <c r="A6" s="35">
        <v>15</v>
      </c>
      <c r="B6" s="53">
        <v>33</v>
      </c>
      <c r="C6" s="53">
        <v>12.2</v>
      </c>
      <c r="D6" s="53">
        <v>47.7</v>
      </c>
      <c r="E6" s="53">
        <v>31</v>
      </c>
      <c r="F6" s="53">
        <v>18</v>
      </c>
    </row>
    <row r="7" spans="1:6" x14ac:dyDescent="0.25">
      <c r="A7" s="35">
        <v>20</v>
      </c>
      <c r="B7" s="53">
        <v>38.5</v>
      </c>
      <c r="C7" s="53">
        <v>23.6</v>
      </c>
      <c r="D7" s="53">
        <v>45.7</v>
      </c>
      <c r="E7" s="53">
        <v>35.9</v>
      </c>
      <c r="F7" s="53">
        <v>11</v>
      </c>
    </row>
    <row r="8" spans="1:6" x14ac:dyDescent="0.25">
      <c r="A8" s="35">
        <v>25</v>
      </c>
      <c r="B8" s="53">
        <v>43.2</v>
      </c>
      <c r="C8" s="53">
        <v>19.899999999999999</v>
      </c>
      <c r="D8" s="53">
        <v>53.9</v>
      </c>
      <c r="E8" s="53">
        <v>39</v>
      </c>
      <c r="F8" s="53">
        <v>17</v>
      </c>
    </row>
    <row r="9" spans="1:6" x14ac:dyDescent="0.25">
      <c r="A9" s="35">
        <v>30</v>
      </c>
      <c r="B9" s="53">
        <v>43.9</v>
      </c>
      <c r="C9" s="53">
        <v>26</v>
      </c>
      <c r="D9" s="53">
        <v>46.9</v>
      </c>
      <c r="E9" s="53">
        <v>38.9</v>
      </c>
      <c r="F9" s="53">
        <v>11</v>
      </c>
    </row>
    <row r="10" spans="1:6" x14ac:dyDescent="0.25">
      <c r="A10" s="35">
        <v>40</v>
      </c>
      <c r="B10" s="53">
        <v>39.9</v>
      </c>
      <c r="C10" s="53">
        <v>26.4</v>
      </c>
      <c r="D10" s="53">
        <v>41.2</v>
      </c>
      <c r="E10" s="53">
        <v>35.799999999999997</v>
      </c>
      <c r="F10" s="53">
        <v>8</v>
      </c>
    </row>
    <row r="11" spans="1:6" x14ac:dyDescent="0.25">
      <c r="A11" s="35">
        <v>50</v>
      </c>
      <c r="B11" s="53">
        <v>35</v>
      </c>
      <c r="C11" s="53">
        <v>28.5</v>
      </c>
      <c r="D11" s="53">
        <v>29.8</v>
      </c>
      <c r="E11" s="53">
        <v>31.1</v>
      </c>
      <c r="F11" s="53">
        <v>3</v>
      </c>
    </row>
    <row r="12" spans="1:6" x14ac:dyDescent="0.25">
      <c r="A12" s="35">
        <v>60</v>
      </c>
      <c r="B12" s="53">
        <v>32.200000000000003</v>
      </c>
      <c r="C12" s="53">
        <v>20.6</v>
      </c>
      <c r="D12" s="53">
        <v>28.1</v>
      </c>
      <c r="E12" s="53">
        <v>27</v>
      </c>
      <c r="F12" s="53">
        <v>6</v>
      </c>
    </row>
    <row r="13" spans="1:6" x14ac:dyDescent="0.25">
      <c r="A13" s="35">
        <v>70</v>
      </c>
      <c r="B13" s="53">
        <v>24.1</v>
      </c>
      <c r="C13" s="53">
        <v>20</v>
      </c>
      <c r="D13" s="53">
        <v>23.1</v>
      </c>
      <c r="E13" s="53">
        <v>22.4</v>
      </c>
      <c r="F13" s="53">
        <v>2</v>
      </c>
    </row>
    <row r="14" spans="1:6" x14ac:dyDescent="0.25">
      <c r="A14" s="35">
        <v>80</v>
      </c>
      <c r="B14" s="53">
        <v>20.399999999999999</v>
      </c>
      <c r="C14" s="53">
        <v>17</v>
      </c>
      <c r="D14" s="53">
        <v>17.899999999999999</v>
      </c>
      <c r="E14" s="53">
        <v>18.399999999999999</v>
      </c>
      <c r="F14" s="53">
        <v>2</v>
      </c>
    </row>
    <row r="15" spans="1:6" x14ac:dyDescent="0.25">
      <c r="A15" s="35">
        <v>90</v>
      </c>
      <c r="B15" s="53">
        <v>11.3</v>
      </c>
      <c r="C15" s="53">
        <v>10.5</v>
      </c>
      <c r="D15" s="53">
        <v>8.9</v>
      </c>
      <c r="E15" s="53">
        <v>10.3</v>
      </c>
      <c r="F15" s="53">
        <v>1</v>
      </c>
    </row>
    <row r="16" spans="1:6" x14ac:dyDescent="0.25">
      <c r="A16" s="35">
        <v>100</v>
      </c>
      <c r="B16" s="53">
        <v>7.9</v>
      </c>
      <c r="C16" s="53">
        <v>8.6</v>
      </c>
      <c r="D16" s="53">
        <v>6.5</v>
      </c>
      <c r="E16" s="53">
        <v>7.6</v>
      </c>
      <c r="F16" s="53">
        <v>1</v>
      </c>
    </row>
  </sheetData>
  <sortState ref="A4:F15">
    <sortCondition ref="A4:A15"/>
  </sortState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workbookViewId="0">
      <selection activeCell="I43" sqref="I43"/>
    </sheetView>
  </sheetViews>
  <sheetFormatPr defaultRowHeight="15" x14ac:dyDescent="0.25"/>
  <cols>
    <col min="1" max="1" width="27.85546875" bestFit="1" customWidth="1"/>
    <col min="2" max="2" width="14.28515625" customWidth="1"/>
    <col min="3" max="3" width="17" customWidth="1"/>
  </cols>
  <sheetData>
    <row r="1" spans="1:9" x14ac:dyDescent="0.25">
      <c r="A1" s="19" t="s">
        <v>133</v>
      </c>
    </row>
    <row r="3" spans="1:9" x14ac:dyDescent="0.25">
      <c r="B3" t="s">
        <v>46</v>
      </c>
      <c r="E3" t="s">
        <v>135</v>
      </c>
    </row>
    <row r="4" spans="1:9" x14ac:dyDescent="0.25">
      <c r="B4" t="s">
        <v>5</v>
      </c>
      <c r="C4" t="s">
        <v>6</v>
      </c>
      <c r="E4" t="s">
        <v>5</v>
      </c>
      <c r="F4" t="s">
        <v>6</v>
      </c>
    </row>
    <row r="5" spans="1:9" x14ac:dyDescent="0.25">
      <c r="A5" t="s">
        <v>15</v>
      </c>
      <c r="B5">
        <v>1</v>
      </c>
      <c r="C5">
        <v>0</v>
      </c>
      <c r="E5">
        <v>0</v>
      </c>
      <c r="F5">
        <v>0</v>
      </c>
      <c r="I5" s="35"/>
    </row>
    <row r="6" spans="1:9" x14ac:dyDescent="0.25">
      <c r="A6" t="s">
        <v>16</v>
      </c>
      <c r="B6">
        <v>0.87</v>
      </c>
      <c r="C6">
        <v>0</v>
      </c>
      <c r="E6">
        <v>0.15</v>
      </c>
      <c r="F6">
        <v>0</v>
      </c>
      <c r="I6" s="35"/>
    </row>
    <row r="7" spans="1:9" x14ac:dyDescent="0.25">
      <c r="A7" t="s">
        <v>17</v>
      </c>
      <c r="B7">
        <v>0.88</v>
      </c>
      <c r="C7">
        <v>0.02</v>
      </c>
      <c r="E7">
        <v>0.26</v>
      </c>
      <c r="F7">
        <v>0</v>
      </c>
      <c r="I7" s="35"/>
    </row>
    <row r="8" spans="1:9" x14ac:dyDescent="0.25">
      <c r="A8" t="s">
        <v>18</v>
      </c>
      <c r="B8">
        <v>0.89</v>
      </c>
      <c r="C8">
        <v>0.02</v>
      </c>
      <c r="E8">
        <v>0.02</v>
      </c>
      <c r="F8">
        <v>0</v>
      </c>
      <c r="I8" s="35"/>
    </row>
    <row r="9" spans="1:9" x14ac:dyDescent="0.25">
      <c r="A9" t="s">
        <v>19</v>
      </c>
      <c r="B9">
        <v>0.8</v>
      </c>
      <c r="C9">
        <v>0.01</v>
      </c>
      <c r="E9">
        <v>0.66</v>
      </c>
      <c r="F9">
        <v>0.04</v>
      </c>
      <c r="I9" s="35"/>
    </row>
    <row r="10" spans="1:9" x14ac:dyDescent="0.25">
      <c r="A10" t="s">
        <v>20</v>
      </c>
      <c r="B10">
        <v>0.87</v>
      </c>
      <c r="C10">
        <v>0.02</v>
      </c>
      <c r="E10">
        <v>0.43</v>
      </c>
      <c r="F10">
        <v>0.01</v>
      </c>
      <c r="I10" s="35"/>
    </row>
    <row r="11" spans="1:9" x14ac:dyDescent="0.25">
      <c r="A11" t="s">
        <v>21</v>
      </c>
      <c r="B11">
        <v>0.86</v>
      </c>
      <c r="C11">
        <v>0.01</v>
      </c>
      <c r="E11">
        <v>0.04</v>
      </c>
      <c r="F11">
        <v>0.01</v>
      </c>
      <c r="I11" s="35"/>
    </row>
    <row r="12" spans="1:9" x14ac:dyDescent="0.25">
      <c r="A12" t="s">
        <v>22</v>
      </c>
      <c r="B12">
        <v>0.71</v>
      </c>
      <c r="C12">
        <v>0.03</v>
      </c>
      <c r="E12">
        <v>0.63</v>
      </c>
      <c r="F12">
        <v>0.02</v>
      </c>
      <c r="I12" s="35"/>
    </row>
    <row r="13" spans="1:9" x14ac:dyDescent="0.25">
      <c r="A13" t="s">
        <v>23</v>
      </c>
      <c r="B13">
        <v>0.77</v>
      </c>
      <c r="C13">
        <v>0.01</v>
      </c>
      <c r="E13">
        <v>0.85</v>
      </c>
      <c r="F13">
        <v>0</v>
      </c>
      <c r="I13" s="35"/>
    </row>
    <row r="14" spans="1:9" x14ac:dyDescent="0.25">
      <c r="A14" t="s">
        <v>24</v>
      </c>
      <c r="B14">
        <v>0.64</v>
      </c>
      <c r="C14">
        <v>0.01</v>
      </c>
      <c r="E14">
        <v>1</v>
      </c>
      <c r="F14">
        <v>0.01</v>
      </c>
      <c r="I14" s="35"/>
    </row>
    <row r="15" spans="1:9" x14ac:dyDescent="0.25">
      <c r="A15" t="s">
        <v>25</v>
      </c>
      <c r="B15">
        <v>0.65</v>
      </c>
      <c r="C15">
        <v>0.02</v>
      </c>
      <c r="E15">
        <v>0.62</v>
      </c>
      <c r="F15">
        <v>0.04</v>
      </c>
      <c r="I15" s="35"/>
    </row>
    <row r="16" spans="1:9" x14ac:dyDescent="0.25">
      <c r="A16" t="s">
        <v>26</v>
      </c>
      <c r="B16">
        <v>0.84</v>
      </c>
      <c r="C16">
        <v>0.03</v>
      </c>
      <c r="E16">
        <v>0.02</v>
      </c>
      <c r="F16">
        <v>0.15</v>
      </c>
      <c r="I16" s="35"/>
    </row>
    <row r="17" spans="1:9" x14ac:dyDescent="0.25">
      <c r="A17" t="s">
        <v>27</v>
      </c>
      <c r="B17">
        <v>0.77</v>
      </c>
      <c r="C17">
        <v>0</v>
      </c>
      <c r="E17">
        <v>0.39</v>
      </c>
      <c r="F17">
        <v>0</v>
      </c>
      <c r="I17" s="35"/>
    </row>
    <row r="19" spans="1:9" x14ac:dyDescent="0.25">
      <c r="A19" s="19" t="s">
        <v>44</v>
      </c>
    </row>
    <row r="21" spans="1:9" ht="17.25" x14ac:dyDescent="0.25">
      <c r="B21" s="2" t="s">
        <v>46</v>
      </c>
      <c r="C21" s="2"/>
      <c r="E21" s="2" t="s">
        <v>137</v>
      </c>
      <c r="F21" s="2"/>
    </row>
    <row r="22" spans="1:9" x14ac:dyDescent="0.25">
      <c r="B22" s="35" t="s">
        <v>5</v>
      </c>
      <c r="C22" s="35" t="s">
        <v>6</v>
      </c>
      <c r="E22" s="36" t="s">
        <v>5</v>
      </c>
      <c r="F22" s="36" t="s">
        <v>6</v>
      </c>
    </row>
    <row r="23" spans="1:9" x14ac:dyDescent="0.25">
      <c r="A23" s="35" t="s">
        <v>15</v>
      </c>
      <c r="B23" s="35">
        <v>1</v>
      </c>
      <c r="C23" s="35">
        <v>0</v>
      </c>
      <c r="E23" s="37">
        <v>0.68666666666666665</v>
      </c>
      <c r="F23" s="37">
        <v>2.6246692913372675E-2</v>
      </c>
    </row>
    <row r="24" spans="1:9" x14ac:dyDescent="0.25">
      <c r="A24" s="35" t="s">
        <v>16</v>
      </c>
      <c r="B24" s="35">
        <v>0.87</v>
      </c>
      <c r="C24" s="35">
        <v>0</v>
      </c>
      <c r="E24" s="37">
        <v>0.63742741087518617</v>
      </c>
      <c r="F24" s="37">
        <v>4.491919789831797E-2</v>
      </c>
    </row>
    <row r="25" spans="1:9" x14ac:dyDescent="0.25">
      <c r="A25" s="35" t="s">
        <v>17</v>
      </c>
      <c r="B25" s="35">
        <v>0.88</v>
      </c>
      <c r="C25" s="35">
        <v>0.02</v>
      </c>
      <c r="E25" s="37">
        <v>0.63474581755158166</v>
      </c>
      <c r="F25" s="37">
        <v>4.2740530255259833E-2</v>
      </c>
    </row>
    <row r="26" spans="1:9" x14ac:dyDescent="0.25">
      <c r="A26" s="35" t="s">
        <v>18</v>
      </c>
      <c r="B26" s="35">
        <v>0.89</v>
      </c>
      <c r="C26" s="35">
        <v>0.02</v>
      </c>
      <c r="E26" s="37">
        <v>0.6611417750777141</v>
      </c>
      <c r="F26" s="37">
        <v>5.0421488095036202E-2</v>
      </c>
    </row>
    <row r="27" spans="1:9" x14ac:dyDescent="0.25">
      <c r="A27" s="35" t="s">
        <v>19</v>
      </c>
      <c r="B27" s="35">
        <v>0.8</v>
      </c>
      <c r="C27" s="35">
        <v>0.01</v>
      </c>
      <c r="E27" s="37">
        <v>0.6001150321853066</v>
      </c>
      <c r="F27" s="37">
        <v>3.8048403978874948E-2</v>
      </c>
    </row>
    <row r="28" spans="1:9" x14ac:dyDescent="0.25">
      <c r="A28" s="35" t="s">
        <v>20</v>
      </c>
      <c r="B28" s="35">
        <v>0.87</v>
      </c>
      <c r="C28" s="35">
        <v>0.02</v>
      </c>
      <c r="E28" s="37">
        <v>0.63628962579165504</v>
      </c>
      <c r="F28" s="37">
        <v>5.1169088631127346E-2</v>
      </c>
    </row>
    <row r="29" spans="1:9" x14ac:dyDescent="0.25">
      <c r="A29" s="35" t="s">
        <v>21</v>
      </c>
      <c r="B29" s="35">
        <v>0.86</v>
      </c>
      <c r="C29" s="35">
        <v>0.01</v>
      </c>
      <c r="E29" s="37">
        <v>0.57380366650997905</v>
      </c>
      <c r="F29" s="37">
        <v>1.0061556244239243E-2</v>
      </c>
    </row>
    <row r="30" spans="1:9" x14ac:dyDescent="0.25">
      <c r="A30" s="35" t="s">
        <v>22</v>
      </c>
      <c r="B30" s="35">
        <v>0.71</v>
      </c>
      <c r="C30" s="35">
        <v>0.03</v>
      </c>
      <c r="E30" s="37">
        <v>0.5308379655260933</v>
      </c>
      <c r="F30" s="37">
        <v>5.2448336549950202E-2</v>
      </c>
    </row>
    <row r="31" spans="1:9" x14ac:dyDescent="0.25">
      <c r="A31" s="35" t="s">
        <v>23</v>
      </c>
      <c r="B31" s="35">
        <v>0.77</v>
      </c>
      <c r="C31" s="35">
        <v>0.01</v>
      </c>
      <c r="E31" s="37">
        <v>0.5224087592429737</v>
      </c>
      <c r="F31" s="37">
        <v>1.6701043064885828E-2</v>
      </c>
    </row>
    <row r="32" spans="1:9" x14ac:dyDescent="0.25">
      <c r="A32" s="35" t="s">
        <v>24</v>
      </c>
      <c r="B32" s="35">
        <v>0.64</v>
      </c>
      <c r="C32" s="35">
        <v>0.01</v>
      </c>
      <c r="E32" s="37">
        <v>0.498115651903768</v>
      </c>
      <c r="F32" s="37">
        <v>1.3962637365391679E-2</v>
      </c>
    </row>
    <row r="33" spans="1:6" x14ac:dyDescent="0.25">
      <c r="A33" s="35" t="s">
        <v>25</v>
      </c>
      <c r="B33" s="35">
        <v>0.65</v>
      </c>
      <c r="C33" s="35">
        <v>0.02</v>
      </c>
      <c r="E33" s="37">
        <v>0.48902342733147702</v>
      </c>
      <c r="F33" s="37">
        <v>4.8892111111769873E-2</v>
      </c>
    </row>
    <row r="34" spans="1:6" x14ac:dyDescent="0.25">
      <c r="A34" s="35" t="s">
        <v>26</v>
      </c>
      <c r="B34" s="35">
        <v>0.84</v>
      </c>
      <c r="C34" s="35">
        <v>0.03</v>
      </c>
      <c r="E34" s="37">
        <v>0.6019797328078561</v>
      </c>
      <c r="F34" s="37">
        <v>4.82775400855208E-2</v>
      </c>
    </row>
    <row r="35" spans="1:6" x14ac:dyDescent="0.25">
      <c r="A35" s="35" t="s">
        <v>27</v>
      </c>
      <c r="B35" s="35">
        <v>0.77</v>
      </c>
      <c r="C35" s="35">
        <v>0</v>
      </c>
      <c r="E35" s="37">
        <v>0.54045549443312468</v>
      </c>
      <c r="F35" s="37">
        <v>1.8005239718528514E-2</v>
      </c>
    </row>
    <row r="37" spans="1:6" x14ac:dyDescent="0.25">
      <c r="A37" s="19" t="s">
        <v>0</v>
      </c>
    </row>
    <row r="38" spans="1:6" ht="17.25" x14ac:dyDescent="0.25">
      <c r="B38" s="2" t="s">
        <v>46</v>
      </c>
      <c r="C38" s="2"/>
      <c r="D38" s="36"/>
      <c r="E38" s="2" t="s">
        <v>137</v>
      </c>
      <c r="F38" s="2"/>
    </row>
    <row r="39" spans="1:6" x14ac:dyDescent="0.25">
      <c r="B39" s="36" t="s">
        <v>5</v>
      </c>
      <c r="C39" s="36" t="s">
        <v>6</v>
      </c>
      <c r="D39" s="36"/>
      <c r="E39" s="36" t="s">
        <v>5</v>
      </c>
      <c r="F39" s="36" t="s">
        <v>6</v>
      </c>
    </row>
    <row r="40" spans="1:6" x14ac:dyDescent="0.25">
      <c r="A40" s="36" t="s">
        <v>15</v>
      </c>
      <c r="B40" s="39">
        <v>1</v>
      </c>
      <c r="C40" s="39">
        <v>0</v>
      </c>
      <c r="D40" s="39"/>
      <c r="E40" s="39">
        <v>0.68298499999999995</v>
      </c>
      <c r="F40" s="40">
        <v>2.5840427955391401E-2</v>
      </c>
    </row>
    <row r="41" spans="1:6" x14ac:dyDescent="0.25">
      <c r="A41" s="36" t="s">
        <v>73</v>
      </c>
      <c r="B41" s="39">
        <v>0.79666666666666675</v>
      </c>
      <c r="C41" s="39">
        <v>5.0332229568471651E-2</v>
      </c>
      <c r="D41" s="39"/>
      <c r="E41" s="39">
        <v>0.51963570126229486</v>
      </c>
      <c r="F41" s="40">
        <v>4.6019069889718198E-2</v>
      </c>
    </row>
    <row r="42" spans="1:6" x14ac:dyDescent="0.25">
      <c r="A42" s="36" t="s">
        <v>74</v>
      </c>
      <c r="B42" s="39">
        <v>0.54950811056998861</v>
      </c>
      <c r="C42" s="39">
        <v>2.0369312772265301E-2</v>
      </c>
      <c r="D42" s="39"/>
      <c r="E42" s="39">
        <v>0.47255704603035897</v>
      </c>
      <c r="F42" s="40">
        <v>4.666859872911952E-2</v>
      </c>
    </row>
    <row r="43" spans="1:6" x14ac:dyDescent="0.25">
      <c r="A43" s="36" t="s">
        <v>75</v>
      </c>
      <c r="B43" s="39">
        <v>0.78348133055197222</v>
      </c>
      <c r="C43" s="39">
        <v>2.9068227362078931E-2</v>
      </c>
      <c r="D43" s="39"/>
      <c r="E43" s="39">
        <v>0.59903855614286072</v>
      </c>
      <c r="F43" s="40">
        <v>4.2954643209087803E-2</v>
      </c>
    </row>
    <row r="44" spans="1:6" x14ac:dyDescent="0.25">
      <c r="A44" s="36" t="s">
        <v>76</v>
      </c>
      <c r="B44" s="39">
        <v>0.72557834202708282</v>
      </c>
      <c r="C44" s="39">
        <v>1.1045450276240872E-2</v>
      </c>
      <c r="D44" s="39"/>
      <c r="E44" s="39">
        <v>0.54242775758470418</v>
      </c>
      <c r="F44" s="40">
        <v>4.3775699164263097E-2</v>
      </c>
    </row>
    <row r="45" spans="1:6" x14ac:dyDescent="0.25">
      <c r="A45" s="36" t="s">
        <v>77</v>
      </c>
      <c r="B45" s="39">
        <v>0.76074393550135111</v>
      </c>
      <c r="C45" s="39">
        <v>1.4614214279057621E-3</v>
      </c>
      <c r="D45" s="39"/>
      <c r="E45" s="39">
        <v>0.53061345698173923</v>
      </c>
      <c r="F45" s="40">
        <v>4.0397133798984297E-2</v>
      </c>
    </row>
    <row r="46" spans="1:6" x14ac:dyDescent="0.25">
      <c r="A46" s="36" t="s">
        <v>78</v>
      </c>
      <c r="B46" s="39">
        <v>0.65236369150996065</v>
      </c>
      <c r="C46" s="39">
        <v>2.0700689738300092E-2</v>
      </c>
      <c r="D46" s="39"/>
      <c r="E46" s="39">
        <v>0.50914956948420731</v>
      </c>
      <c r="F46" s="40">
        <v>3.7300088908564337E-2</v>
      </c>
    </row>
    <row r="47" spans="1:6" x14ac:dyDescent="0.25">
      <c r="A47" s="36" t="s">
        <v>83</v>
      </c>
      <c r="B47" s="39">
        <v>0.80900783388829967</v>
      </c>
      <c r="C47" s="39">
        <v>1.5082935040819272E-2</v>
      </c>
      <c r="D47" s="39"/>
      <c r="E47" s="39">
        <v>0.54192296231535275</v>
      </c>
      <c r="F47" s="40">
        <v>3.1261450858970453E-2</v>
      </c>
    </row>
    <row r="48" spans="1:6" x14ac:dyDescent="0.25">
      <c r="A48" s="36" t="s">
        <v>79</v>
      </c>
      <c r="B48" s="39">
        <v>0.59006106638312106</v>
      </c>
      <c r="C48" s="39">
        <v>8.9613353156556136E-3</v>
      </c>
      <c r="D48" s="39"/>
      <c r="E48" s="39">
        <v>0.43805719887467065</v>
      </c>
      <c r="F48" s="40">
        <v>3.0739386893586001E-2</v>
      </c>
    </row>
    <row r="49" spans="1:6" x14ac:dyDescent="0.25">
      <c r="A49" s="36" t="s">
        <v>80</v>
      </c>
      <c r="B49" s="39">
        <v>0.4466666666666666</v>
      </c>
      <c r="C49" s="39">
        <v>5.0237691685685398E-2</v>
      </c>
      <c r="D49" s="39"/>
      <c r="E49" s="39">
        <v>0.41172350000000002</v>
      </c>
      <c r="F49" s="40">
        <v>3.125E-2</v>
      </c>
    </row>
    <row r="50" spans="1:6" x14ac:dyDescent="0.25">
      <c r="A50" s="36" t="s">
        <v>81</v>
      </c>
      <c r="B50" s="39">
        <v>0.96728028509345831</v>
      </c>
      <c r="C50" s="39">
        <v>6.3538349066098627E-3</v>
      </c>
      <c r="D50" s="39"/>
      <c r="E50" s="39">
        <v>0.63466306555420804</v>
      </c>
      <c r="F50" s="40">
        <v>1.1494822392581013E-2</v>
      </c>
    </row>
    <row r="51" spans="1:6" x14ac:dyDescent="0.25">
      <c r="A51" s="36" t="s">
        <v>82</v>
      </c>
      <c r="B51" s="39">
        <v>0.35117672299128316</v>
      </c>
      <c r="C51" s="39">
        <v>1.4804397894072438E-2</v>
      </c>
      <c r="D51" s="39"/>
      <c r="E51" s="39">
        <v>0.40569676211700401</v>
      </c>
      <c r="F51" s="40">
        <v>2.8884737318733249E-2</v>
      </c>
    </row>
    <row r="53" spans="1:6" x14ac:dyDescent="0.25">
      <c r="A53" s="19" t="s">
        <v>8</v>
      </c>
    </row>
    <row r="54" spans="1:6" ht="17.25" x14ac:dyDescent="0.25">
      <c r="B54" s="2" t="s">
        <v>46</v>
      </c>
      <c r="C54" s="2"/>
      <c r="D54" s="38"/>
      <c r="E54" s="2" t="s">
        <v>137</v>
      </c>
      <c r="F54" s="2"/>
    </row>
    <row r="55" spans="1:6" x14ac:dyDescent="0.25">
      <c r="A55" s="38" t="s">
        <v>50</v>
      </c>
      <c r="B55" s="38" t="s">
        <v>5</v>
      </c>
      <c r="C55" s="38" t="s">
        <v>6</v>
      </c>
      <c r="D55" s="38"/>
      <c r="E55" s="38" t="s">
        <v>5</v>
      </c>
      <c r="F55" s="38" t="s">
        <v>6</v>
      </c>
    </row>
    <row r="56" spans="1:6" x14ac:dyDescent="0.25">
      <c r="A56" s="38" t="s">
        <v>51</v>
      </c>
      <c r="B56" s="39">
        <v>1</v>
      </c>
      <c r="C56" s="39">
        <v>0</v>
      </c>
      <c r="D56" s="39"/>
      <c r="E56" s="39">
        <v>0.65</v>
      </c>
      <c r="F56" s="39">
        <v>0.05</v>
      </c>
    </row>
    <row r="57" spans="1:6" x14ac:dyDescent="0.25">
      <c r="A57" s="38" t="s">
        <v>110</v>
      </c>
      <c r="B57" s="39">
        <v>0.75</v>
      </c>
      <c r="C57" s="39">
        <v>0.05</v>
      </c>
      <c r="D57" s="39"/>
      <c r="E57" s="39">
        <v>0.54</v>
      </c>
      <c r="F57" s="39">
        <v>0.05</v>
      </c>
    </row>
    <row r="58" spans="1:6" x14ac:dyDescent="0.25">
      <c r="A58" s="38" t="s">
        <v>111</v>
      </c>
      <c r="B58" s="39">
        <v>0.52</v>
      </c>
      <c r="C58" s="39">
        <v>0.03</v>
      </c>
      <c r="D58" s="39"/>
      <c r="E58" s="39">
        <v>0.36</v>
      </c>
      <c r="F58" s="39">
        <v>0.04</v>
      </c>
    </row>
    <row r="59" spans="1:6" x14ac:dyDescent="0.25">
      <c r="A59" s="38" t="s">
        <v>112</v>
      </c>
      <c r="B59" s="39">
        <v>0.6</v>
      </c>
      <c r="C59" s="39">
        <v>0.02</v>
      </c>
      <c r="D59" s="39"/>
      <c r="E59" s="39">
        <v>0.39</v>
      </c>
      <c r="F59" s="39">
        <v>0.03</v>
      </c>
    </row>
    <row r="60" spans="1:6" x14ac:dyDescent="0.25">
      <c r="A60" s="38" t="s">
        <v>113</v>
      </c>
      <c r="B60" s="39">
        <v>0.56999999999999995</v>
      </c>
      <c r="C60" s="39">
        <v>0.02</v>
      </c>
      <c r="D60" s="39"/>
      <c r="E60" s="39">
        <v>0.4</v>
      </c>
      <c r="F60" s="39">
        <v>0.04</v>
      </c>
    </row>
    <row r="61" spans="1:6" x14ac:dyDescent="0.25">
      <c r="A61" s="38" t="s">
        <v>114</v>
      </c>
      <c r="B61" s="39">
        <v>0.59</v>
      </c>
      <c r="C61" s="39">
        <v>0.01</v>
      </c>
      <c r="D61" s="39"/>
      <c r="E61" s="39">
        <v>0.4</v>
      </c>
      <c r="F61" s="39">
        <v>0.02</v>
      </c>
    </row>
    <row r="62" spans="1:6" x14ac:dyDescent="0.25">
      <c r="A62" s="38" t="s">
        <v>115</v>
      </c>
      <c r="B62" s="39">
        <v>0.84</v>
      </c>
      <c r="C62" s="39">
        <v>0.05</v>
      </c>
      <c r="D62" s="39"/>
      <c r="E62" s="39">
        <v>0.53</v>
      </c>
      <c r="F62" s="39">
        <v>0.03</v>
      </c>
    </row>
    <row r="63" spans="1:6" x14ac:dyDescent="0.25">
      <c r="A63" s="38" t="s">
        <v>116</v>
      </c>
      <c r="B63" s="39">
        <v>0.72</v>
      </c>
      <c r="C63" s="39">
        <v>0.03</v>
      </c>
      <c r="D63" s="39"/>
      <c r="E63" s="39">
        <v>0.48</v>
      </c>
      <c r="F63" s="39">
        <v>0.02</v>
      </c>
    </row>
    <row r="64" spans="1:6" x14ac:dyDescent="0.25">
      <c r="A64" s="38" t="s">
        <v>117</v>
      </c>
      <c r="B64" s="39">
        <v>0.7</v>
      </c>
      <c r="C64" s="39">
        <v>0.03</v>
      </c>
      <c r="D64" s="39"/>
      <c r="E64" s="39">
        <v>0.41</v>
      </c>
      <c r="F64" s="39">
        <v>0.05</v>
      </c>
    </row>
    <row r="65" spans="1:6" x14ac:dyDescent="0.25">
      <c r="A65" s="38" t="s">
        <v>118</v>
      </c>
      <c r="B65" s="39">
        <v>0.72</v>
      </c>
      <c r="C65" s="39">
        <v>0.03</v>
      </c>
      <c r="D65" s="39"/>
      <c r="E65" s="39">
        <v>0.46</v>
      </c>
      <c r="F65" s="39">
        <v>0.04</v>
      </c>
    </row>
    <row r="66" spans="1:6" x14ac:dyDescent="0.25">
      <c r="A66" s="38" t="s">
        <v>119</v>
      </c>
      <c r="B66" s="39">
        <v>0.56000000000000005</v>
      </c>
      <c r="C66" s="39">
        <v>0.04</v>
      </c>
      <c r="D66" s="39"/>
      <c r="E66" s="39">
        <v>0.37</v>
      </c>
      <c r="F66" s="39">
        <v>0.05</v>
      </c>
    </row>
    <row r="67" spans="1:6" x14ac:dyDescent="0.25">
      <c r="A67" s="38" t="s">
        <v>120</v>
      </c>
      <c r="B67" s="39">
        <v>0.52</v>
      </c>
      <c r="C67" s="39">
        <v>0.03</v>
      </c>
      <c r="D67" s="39"/>
      <c r="E67" s="39">
        <v>0.41</v>
      </c>
      <c r="F67" s="39">
        <v>0.04</v>
      </c>
    </row>
    <row r="68" spans="1:6" x14ac:dyDescent="0.25">
      <c r="A68" s="38" t="s">
        <v>121</v>
      </c>
      <c r="B68" s="39">
        <v>0.7</v>
      </c>
      <c r="C68" s="39">
        <v>0.02</v>
      </c>
      <c r="D68" s="39"/>
      <c r="E68" s="39">
        <v>0.45</v>
      </c>
      <c r="F68" s="39">
        <v>0.01</v>
      </c>
    </row>
    <row r="69" spans="1:6" x14ac:dyDescent="0.25">
      <c r="A69" s="38" t="s">
        <v>122</v>
      </c>
      <c r="B69" s="39">
        <v>0.75</v>
      </c>
      <c r="C69" s="39">
        <v>0.02</v>
      </c>
      <c r="D69" s="39"/>
      <c r="E69" s="39">
        <v>0.46</v>
      </c>
      <c r="F69" s="39">
        <v>0.04</v>
      </c>
    </row>
    <row r="70" spans="1:6" x14ac:dyDescent="0.25">
      <c r="A70" s="38" t="s">
        <v>123</v>
      </c>
      <c r="B70" s="39">
        <v>0.66</v>
      </c>
      <c r="C70" s="39">
        <v>0.05</v>
      </c>
      <c r="D70" s="39"/>
      <c r="E70" s="39">
        <v>0.46</v>
      </c>
      <c r="F70" s="39">
        <v>0.04</v>
      </c>
    </row>
    <row r="71" spans="1:6" x14ac:dyDescent="0.25">
      <c r="A71" s="38" t="s">
        <v>124</v>
      </c>
      <c r="B71" s="39">
        <v>0.73</v>
      </c>
      <c r="C71" s="39">
        <v>0.04</v>
      </c>
      <c r="D71" s="39"/>
      <c r="E71" s="39">
        <v>0.54</v>
      </c>
      <c r="F71" s="39">
        <v>0.03</v>
      </c>
    </row>
    <row r="72" spans="1:6" x14ac:dyDescent="0.25">
      <c r="A72" s="38" t="s">
        <v>125</v>
      </c>
      <c r="B72" s="39">
        <v>0.35</v>
      </c>
      <c r="C72" s="39">
        <v>0.04</v>
      </c>
      <c r="D72" s="39"/>
      <c r="E72" s="39">
        <v>0.27</v>
      </c>
      <c r="F72" s="39">
        <v>0.03</v>
      </c>
    </row>
    <row r="73" spans="1:6" x14ac:dyDescent="0.25">
      <c r="A73" s="38" t="s">
        <v>126</v>
      </c>
      <c r="B73" s="39">
        <v>0.64</v>
      </c>
      <c r="C73" s="39">
        <v>0.02</v>
      </c>
      <c r="D73" s="39"/>
      <c r="E73" s="39">
        <v>0.44</v>
      </c>
      <c r="F73" s="39">
        <v>0.01</v>
      </c>
    </row>
    <row r="75" spans="1:6" x14ac:dyDescent="0.25">
      <c r="A75" s="19" t="s">
        <v>12</v>
      </c>
    </row>
    <row r="76" spans="1:6" ht="17.25" x14ac:dyDescent="0.25">
      <c r="A76" s="38"/>
      <c r="B76" s="2" t="s">
        <v>46</v>
      </c>
      <c r="C76" s="2"/>
      <c r="D76" s="38"/>
      <c r="E76" s="2" t="s">
        <v>137</v>
      </c>
      <c r="F76" s="2"/>
    </row>
    <row r="77" spans="1:6" x14ac:dyDescent="0.25">
      <c r="A77" s="38" t="s">
        <v>50</v>
      </c>
      <c r="B77" s="38" t="s">
        <v>5</v>
      </c>
      <c r="C77" s="38" t="s">
        <v>6</v>
      </c>
      <c r="D77" s="38"/>
      <c r="E77" s="38" t="s">
        <v>5</v>
      </c>
      <c r="F77" s="38" t="s">
        <v>6</v>
      </c>
    </row>
    <row r="78" spans="1:6" x14ac:dyDescent="0.25">
      <c r="A78" s="38" t="s">
        <v>51</v>
      </c>
      <c r="B78" s="42">
        <v>1</v>
      </c>
      <c r="C78" s="42">
        <v>0</v>
      </c>
      <c r="D78" s="42"/>
      <c r="E78" s="42">
        <v>0.65123500000000001</v>
      </c>
      <c r="F78" s="42">
        <v>2.9852592370244863E-2</v>
      </c>
    </row>
    <row r="79" spans="1:6" x14ac:dyDescent="0.25">
      <c r="A79" s="38" t="s">
        <v>110</v>
      </c>
      <c r="B79" s="42">
        <v>0.79338225488324243</v>
      </c>
      <c r="C79" s="42">
        <v>2.867250234244843E-2</v>
      </c>
      <c r="D79" s="42"/>
      <c r="E79" s="42">
        <v>0.50886904784667475</v>
      </c>
      <c r="F79" s="42">
        <v>2.7445312059176948E-2</v>
      </c>
    </row>
    <row r="80" spans="1:6" x14ac:dyDescent="0.25">
      <c r="A80" s="38" t="s">
        <v>111</v>
      </c>
      <c r="B80" s="42">
        <v>0.82912343362363961</v>
      </c>
      <c r="C80" s="42">
        <v>2.3557468788951038E-2</v>
      </c>
      <c r="D80" s="42"/>
      <c r="E80" s="42">
        <v>0.58323126798084779</v>
      </c>
      <c r="F80" s="42">
        <v>4.4177533511012598E-2</v>
      </c>
    </row>
    <row r="81" spans="1:6" x14ac:dyDescent="0.25">
      <c r="A81" s="38" t="s">
        <v>112</v>
      </c>
      <c r="B81" s="42">
        <v>0.78580310921564267</v>
      </c>
      <c r="C81" s="42">
        <v>1.8373443953678188E-2</v>
      </c>
      <c r="D81" s="42"/>
      <c r="E81" s="42">
        <v>0.53900738526413605</v>
      </c>
      <c r="F81" s="42">
        <v>4.3951037351144799E-2</v>
      </c>
    </row>
    <row r="82" spans="1:6" x14ac:dyDescent="0.25">
      <c r="A82" s="38" t="s">
        <v>113</v>
      </c>
      <c r="B82" s="42">
        <v>0.81931841521322257</v>
      </c>
      <c r="C82" s="42">
        <v>1.8312811693489771E-2</v>
      </c>
      <c r="D82" s="42"/>
      <c r="E82" s="42">
        <v>0.57398129699654687</v>
      </c>
      <c r="F82" s="42">
        <v>1.0357943623837001E-2</v>
      </c>
    </row>
    <row r="83" spans="1:6" x14ac:dyDescent="0.25">
      <c r="A83" s="38" t="s">
        <v>114</v>
      </c>
      <c r="B83" s="42">
        <v>0.83032711214706101</v>
      </c>
      <c r="C83" s="42">
        <v>9.7225722794572131E-3</v>
      </c>
      <c r="D83" s="42"/>
      <c r="E83" s="42">
        <v>0.52855494512042933</v>
      </c>
      <c r="F83" s="42">
        <v>4.4184180259011899E-2</v>
      </c>
    </row>
    <row r="84" spans="1:6" x14ac:dyDescent="0.25">
      <c r="A84" s="38" t="s">
        <v>115</v>
      </c>
      <c r="B84" s="42">
        <v>0.84123000000000003</v>
      </c>
      <c r="C84" s="42">
        <v>3.2113446233213119E-2</v>
      </c>
      <c r="D84" s="42"/>
      <c r="E84" s="42">
        <v>0.51851461211549743</v>
      </c>
      <c r="F84" s="42">
        <v>3.9262903217057499E-2</v>
      </c>
    </row>
    <row r="85" spans="1:6" x14ac:dyDescent="0.25">
      <c r="A85" s="38" t="s">
        <v>116</v>
      </c>
      <c r="B85" s="42">
        <v>0.82172575437833439</v>
      </c>
      <c r="C85" s="42">
        <v>3.361832459999603E-3</v>
      </c>
      <c r="D85" s="42"/>
      <c r="E85" s="42">
        <v>0.50187313904269626</v>
      </c>
      <c r="F85" s="42">
        <v>8.4571723615687201E-3</v>
      </c>
    </row>
    <row r="86" spans="1:6" x14ac:dyDescent="0.25">
      <c r="A86" s="38" t="s">
        <v>117</v>
      </c>
      <c r="B86" s="42">
        <v>0.75377235378835616</v>
      </c>
      <c r="C86" s="42">
        <v>2.6348690833254685E-2</v>
      </c>
      <c r="D86" s="42"/>
      <c r="E86" s="42">
        <v>0.4886716900595231</v>
      </c>
      <c r="F86" s="42">
        <v>8.1547766936878908E-3</v>
      </c>
    </row>
    <row r="87" spans="1:6" x14ac:dyDescent="0.25">
      <c r="A87" s="38" t="s">
        <v>118</v>
      </c>
      <c r="B87" s="42">
        <v>0.78255662354646249</v>
      </c>
      <c r="C87" s="42">
        <v>2.3232003010602267E-2</v>
      </c>
      <c r="D87" s="42"/>
      <c r="E87" s="42">
        <v>0.51606680975521835</v>
      </c>
      <c r="F87" s="42">
        <v>3.8502065888547696E-2</v>
      </c>
    </row>
    <row r="88" spans="1:6" x14ac:dyDescent="0.25">
      <c r="A88" s="38" t="s">
        <v>119</v>
      </c>
      <c r="B88" s="42">
        <v>0.75943289448112339</v>
      </c>
      <c r="C88" s="42">
        <v>1.2890688240237437E-2</v>
      </c>
      <c r="D88" s="42"/>
      <c r="E88" s="42">
        <v>0.44401306925253015</v>
      </c>
      <c r="F88" s="42">
        <v>3.8502065888547696E-2</v>
      </c>
    </row>
    <row r="89" spans="1:6" x14ac:dyDescent="0.25">
      <c r="A89" s="38" t="s">
        <v>120</v>
      </c>
      <c r="B89" s="42">
        <v>0.66814499999999999</v>
      </c>
      <c r="C89" s="42">
        <v>3.2004722638681461E-2</v>
      </c>
      <c r="D89" s="42"/>
      <c r="E89" s="42">
        <v>0.39343932760283568</v>
      </c>
      <c r="F89" s="42">
        <v>3.7289192309625928E-2</v>
      </c>
    </row>
    <row r="90" spans="1:6" x14ac:dyDescent="0.25">
      <c r="A90" s="38" t="s">
        <v>121</v>
      </c>
      <c r="B90" s="42">
        <v>0.78636585155797101</v>
      </c>
      <c r="C90" s="42">
        <v>3.8352248856998346E-3</v>
      </c>
      <c r="D90" s="42"/>
      <c r="E90" s="42">
        <v>0.48913833713653748</v>
      </c>
      <c r="F90" s="42">
        <v>3.6105473662629013E-2</v>
      </c>
    </row>
    <row r="91" spans="1:6" x14ac:dyDescent="0.25">
      <c r="A91" s="38" t="s">
        <v>122</v>
      </c>
      <c r="B91" s="42">
        <v>0.79376391425075044</v>
      </c>
      <c r="C91" s="42">
        <v>9.990972810298402E-3</v>
      </c>
      <c r="D91" s="42"/>
      <c r="E91" s="42">
        <v>0.49661301373679834</v>
      </c>
      <c r="F91" s="42">
        <v>3.6507421704035703E-2</v>
      </c>
    </row>
    <row r="92" spans="1:6" x14ac:dyDescent="0.25">
      <c r="A92" s="38" t="s">
        <v>123</v>
      </c>
      <c r="B92" s="42">
        <v>0.75949624690688133</v>
      </c>
      <c r="C92" s="42">
        <v>1.6278694886579351E-2</v>
      </c>
      <c r="D92" s="42"/>
      <c r="E92" s="42">
        <v>0.46568627643468358</v>
      </c>
      <c r="F92" s="42">
        <v>1.4070804531656147E-2</v>
      </c>
    </row>
    <row r="93" spans="1:6" x14ac:dyDescent="0.25">
      <c r="A93" s="38" t="s">
        <v>124</v>
      </c>
      <c r="B93" s="42">
        <v>0.75759992866091996</v>
      </c>
      <c r="C93" s="42">
        <v>2.8037766105431877E-2</v>
      </c>
      <c r="D93" s="42"/>
      <c r="E93" s="42">
        <v>0.53226116209084562</v>
      </c>
      <c r="F93" s="42">
        <v>3.5249182075515403E-2</v>
      </c>
    </row>
    <row r="94" spans="1:6" x14ac:dyDescent="0.25">
      <c r="A94" s="38" t="s">
        <v>125</v>
      </c>
      <c r="B94" s="42">
        <v>0.61019999999999996</v>
      </c>
      <c r="C94" s="42">
        <v>3.2612885177549664E-2</v>
      </c>
      <c r="D94" s="42"/>
      <c r="E94" s="42">
        <v>0.4151497132427111</v>
      </c>
      <c r="F94" s="42">
        <v>4.0950933267772029E-2</v>
      </c>
    </row>
    <row r="95" spans="1:6" x14ac:dyDescent="0.25">
      <c r="A95" s="38" t="s">
        <v>126</v>
      </c>
      <c r="B95" s="42">
        <v>0.68079999999999996</v>
      </c>
      <c r="C95" s="42">
        <v>1.8767125490844506E-2</v>
      </c>
      <c r="D95" s="42"/>
      <c r="E95" s="42">
        <v>0.45337540120223513</v>
      </c>
      <c r="F95" s="42">
        <v>1.5692136316051441E-2</v>
      </c>
    </row>
  </sheetData>
  <mergeCells count="8">
    <mergeCell ref="B76:C76"/>
    <mergeCell ref="E76:F76"/>
    <mergeCell ref="B21:C21"/>
    <mergeCell ref="E21:F21"/>
    <mergeCell ref="B38:C38"/>
    <mergeCell ref="E38:F38"/>
    <mergeCell ref="B54:C54"/>
    <mergeCell ref="E54:F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topLeftCell="A19" zoomScaleNormal="100" workbookViewId="0">
      <selection activeCell="M16" sqref="M16"/>
    </sheetView>
  </sheetViews>
  <sheetFormatPr defaultRowHeight="15" x14ac:dyDescent="0.25"/>
  <cols>
    <col min="1" max="1" width="27.85546875" bestFit="1" customWidth="1"/>
    <col min="2" max="2" width="9.7109375" style="43" customWidth="1"/>
    <col min="3" max="3" width="8.28515625" style="43" bestFit="1" customWidth="1"/>
    <col min="4" max="8" width="6.85546875" style="43" customWidth="1"/>
  </cols>
  <sheetData>
    <row r="1" spans="1:11" x14ac:dyDescent="0.25">
      <c r="A1" s="19" t="s">
        <v>133</v>
      </c>
      <c r="B1" s="19"/>
      <c r="C1" s="19"/>
      <c r="D1" s="19"/>
      <c r="E1" s="19"/>
      <c r="F1" s="19"/>
      <c r="G1" s="19"/>
      <c r="H1" s="19"/>
    </row>
    <row r="2" spans="1:11" s="41" customFormat="1" ht="60" x14ac:dyDescent="0.25">
      <c r="A2" s="19"/>
      <c r="B2" s="6" t="s">
        <v>39</v>
      </c>
      <c r="H2" s="19"/>
    </row>
    <row r="3" spans="1:11" x14ac:dyDescent="0.25">
      <c r="A3" s="41"/>
      <c r="B3" s="2" t="s">
        <v>28</v>
      </c>
      <c r="C3" s="2"/>
      <c r="D3" s="2"/>
      <c r="E3" s="2"/>
      <c r="F3" s="2"/>
      <c r="G3" s="2"/>
      <c r="I3" s="3" t="s">
        <v>29</v>
      </c>
      <c r="J3" s="3"/>
      <c r="K3" s="3"/>
    </row>
    <row r="4" spans="1:11" x14ac:dyDescent="0.25">
      <c r="A4" s="41"/>
      <c r="B4" s="6"/>
      <c r="C4" s="43" t="s">
        <v>5</v>
      </c>
      <c r="D4" s="43" t="s">
        <v>6</v>
      </c>
      <c r="E4" s="6"/>
      <c r="F4" s="6"/>
      <c r="G4" s="41"/>
      <c r="I4" s="41" t="s">
        <v>5</v>
      </c>
      <c r="J4" s="41" t="s">
        <v>6</v>
      </c>
      <c r="K4" s="41"/>
    </row>
    <row r="5" spans="1:11" x14ac:dyDescent="0.25">
      <c r="A5" s="41" t="s">
        <v>15</v>
      </c>
      <c r="B5" s="46"/>
      <c r="C5" s="47">
        <v>1</v>
      </c>
      <c r="D5" s="47">
        <v>0</v>
      </c>
      <c r="E5"/>
      <c r="F5" s="42"/>
      <c r="G5" s="41"/>
      <c r="I5" s="42">
        <v>1</v>
      </c>
      <c r="J5" s="42">
        <v>0</v>
      </c>
      <c r="K5" s="41"/>
    </row>
    <row r="6" spans="1:11" x14ac:dyDescent="0.25">
      <c r="A6" s="41" t="s">
        <v>73</v>
      </c>
      <c r="B6" s="46"/>
      <c r="C6" s="47">
        <v>0.78333333299999997</v>
      </c>
      <c r="D6" s="47">
        <v>2.5166114999999999E-2</v>
      </c>
      <c r="E6"/>
      <c r="F6" s="42"/>
      <c r="G6" s="41"/>
      <c r="I6" s="42">
        <v>0.84626963350785334</v>
      </c>
      <c r="J6" s="42">
        <v>3.6280871495435248E-2</v>
      </c>
      <c r="K6" s="41"/>
    </row>
    <row r="7" spans="1:11" x14ac:dyDescent="0.25">
      <c r="A7" s="41" t="s">
        <v>74</v>
      </c>
      <c r="B7" s="46"/>
      <c r="C7" s="47">
        <v>0.64221292100000005</v>
      </c>
      <c r="D7" s="47">
        <v>8.5515243000000005E-2</v>
      </c>
      <c r="E7"/>
      <c r="F7" s="42"/>
      <c r="G7" s="41"/>
      <c r="I7" s="42">
        <v>0.58356321839080461</v>
      </c>
      <c r="J7" s="42">
        <v>2.1213203435596368E-2</v>
      </c>
      <c r="K7" s="41"/>
    </row>
    <row r="8" spans="1:11" x14ac:dyDescent="0.25">
      <c r="A8" s="41" t="s">
        <v>75</v>
      </c>
      <c r="B8" s="46"/>
      <c r="C8" s="47">
        <v>0.77247729399999998</v>
      </c>
      <c r="D8" s="47">
        <v>1.9754661999999999E-2</v>
      </c>
      <c r="E8"/>
      <c r="F8" s="42"/>
      <c r="G8" s="41"/>
      <c r="I8" s="42">
        <v>0.70902298850574708</v>
      </c>
      <c r="J8" s="42">
        <v>2.1213203435596368E-2</v>
      </c>
      <c r="K8" s="41"/>
    </row>
    <row r="9" spans="1:11" x14ac:dyDescent="0.25">
      <c r="A9" s="41" t="s">
        <v>76</v>
      </c>
      <c r="B9" s="46"/>
      <c r="C9" s="47">
        <v>0.63094576999999996</v>
      </c>
      <c r="D9" s="47">
        <v>1.1447993E-2</v>
      </c>
      <c r="E9"/>
      <c r="F9" s="42"/>
      <c r="G9" s="41"/>
      <c r="I9" s="42">
        <v>0.78666666666666663</v>
      </c>
      <c r="J9" s="42">
        <v>2.1213203435596368E-2</v>
      </c>
      <c r="K9" s="41"/>
    </row>
    <row r="10" spans="1:11" x14ac:dyDescent="0.25">
      <c r="A10" s="41" t="s">
        <v>77</v>
      </c>
      <c r="B10" s="46"/>
      <c r="C10" s="47">
        <v>0.57209033200000003</v>
      </c>
      <c r="D10" s="47">
        <v>3.7136031E-2</v>
      </c>
      <c r="E10"/>
      <c r="F10" s="42"/>
      <c r="G10" s="41"/>
      <c r="I10" s="42">
        <v>0.63143678160919536</v>
      </c>
      <c r="J10" s="42">
        <v>1.4142135623730963E-2</v>
      </c>
      <c r="K10" s="41"/>
    </row>
    <row r="11" spans="1:11" x14ac:dyDescent="0.25">
      <c r="A11" s="41" t="s">
        <v>78</v>
      </c>
      <c r="B11" s="46"/>
      <c r="C11" s="47">
        <v>0.67137995299999997</v>
      </c>
      <c r="D11" s="47">
        <v>2.1464381000000001E-2</v>
      </c>
      <c r="E11"/>
      <c r="F11" s="42"/>
      <c r="G11" s="41"/>
      <c r="I11" s="42">
        <v>0.69453120614115382</v>
      </c>
      <c r="J11" s="42">
        <v>6.6476011249446923E-2</v>
      </c>
      <c r="K11" s="41"/>
    </row>
    <row r="12" spans="1:11" x14ac:dyDescent="0.25">
      <c r="A12" s="41" t="s">
        <v>83</v>
      </c>
      <c r="B12" s="46"/>
      <c r="C12" s="47">
        <v>0.56063850900000001</v>
      </c>
      <c r="D12" s="47">
        <v>8.8684309999999995E-3</v>
      </c>
      <c r="E12"/>
      <c r="F12" s="42"/>
      <c r="G12" s="41"/>
      <c r="I12" s="42">
        <v>0.61406660408623759</v>
      </c>
      <c r="J12" s="42">
        <v>4.0826264126099347E-2</v>
      </c>
      <c r="K12" s="41"/>
    </row>
    <row r="13" spans="1:11" x14ac:dyDescent="0.25">
      <c r="A13" s="41" t="s">
        <v>79</v>
      </c>
      <c r="B13" s="46"/>
      <c r="C13" s="47">
        <v>0.45691799500000002</v>
      </c>
      <c r="D13" s="47">
        <v>4.8111333999999999E-2</v>
      </c>
      <c r="E13"/>
      <c r="F13" s="42"/>
      <c r="G13" s="41"/>
      <c r="I13" s="42">
        <v>0.54120612759356213</v>
      </c>
      <c r="J13" s="42">
        <v>8.8439766116991045E-3</v>
      </c>
      <c r="K13" s="41"/>
    </row>
    <row r="14" spans="1:11" x14ac:dyDescent="0.25">
      <c r="A14" s="41" t="s">
        <v>80</v>
      </c>
      <c r="B14" s="46"/>
      <c r="C14" s="47">
        <v>0.43518642800000001</v>
      </c>
      <c r="D14" s="47">
        <v>3.9988146000000002E-2</v>
      </c>
      <c r="E14"/>
      <c r="F14" s="42"/>
      <c r="G14" s="41"/>
      <c r="I14" s="42">
        <v>0.53333333333333299</v>
      </c>
      <c r="J14" s="42">
        <v>7.0710678118654738E-2</v>
      </c>
      <c r="K14" s="41"/>
    </row>
    <row r="15" spans="1:11" x14ac:dyDescent="0.25">
      <c r="A15" s="41" t="s">
        <v>81</v>
      </c>
      <c r="B15" s="46"/>
      <c r="C15" s="47">
        <v>0.78031211599999994</v>
      </c>
      <c r="D15" s="47">
        <v>7.8578324000000005E-2</v>
      </c>
      <c r="E15"/>
      <c r="F15" s="42"/>
      <c r="G15" s="41"/>
      <c r="I15" s="42">
        <v>0.87666666666666659</v>
      </c>
      <c r="J15" s="42">
        <v>9.1923881554251172E-2</v>
      </c>
      <c r="K15" s="41"/>
    </row>
    <row r="16" spans="1:11" x14ac:dyDescent="0.25">
      <c r="A16" s="41" t="s">
        <v>82</v>
      </c>
      <c r="B16" s="46"/>
      <c r="C16" s="47">
        <v>0.252984918</v>
      </c>
      <c r="D16" s="47">
        <v>4.4360710999999997E-2</v>
      </c>
      <c r="E16"/>
      <c r="F16" s="42"/>
      <c r="G16" s="41"/>
      <c r="I16" s="42">
        <v>0.47471264367816096</v>
      </c>
      <c r="J16" s="42">
        <v>2.8284271247461926E-2</v>
      </c>
      <c r="K16" s="41"/>
    </row>
    <row r="17" spans="1:18" x14ac:dyDescent="0.25">
      <c r="A17" s="41"/>
      <c r="B17" s="45"/>
      <c r="C17" s="45"/>
      <c r="I17" s="41"/>
      <c r="J17" s="41"/>
      <c r="K17" s="41"/>
      <c r="L17" s="41"/>
      <c r="M17" s="41"/>
      <c r="N17" s="41"/>
      <c r="O17" s="41"/>
      <c r="P17" s="41"/>
      <c r="Q17" s="41"/>
    </row>
    <row r="18" spans="1:18" x14ac:dyDescent="0.25">
      <c r="A18" s="19" t="s">
        <v>44</v>
      </c>
      <c r="B18" s="19"/>
      <c r="C18" s="19"/>
      <c r="D18" s="19"/>
      <c r="E18" s="19"/>
      <c r="F18" s="19"/>
      <c r="G18" s="19"/>
      <c r="H18" s="19"/>
    </row>
    <row r="19" spans="1:18" s="41" customFormat="1" ht="60" x14ac:dyDescent="0.25">
      <c r="A19" s="19"/>
      <c r="B19" s="6" t="s">
        <v>42</v>
      </c>
      <c r="C19" s="19"/>
      <c r="D19" s="19"/>
      <c r="E19" s="19"/>
      <c r="F19" s="19"/>
      <c r="G19" s="19"/>
      <c r="H19" s="19"/>
    </row>
    <row r="20" spans="1:18" x14ac:dyDescent="0.25">
      <c r="A20" s="41"/>
      <c r="B20" s="2" t="s">
        <v>28</v>
      </c>
      <c r="C20" s="2"/>
      <c r="D20" s="2"/>
      <c r="E20" s="2"/>
      <c r="F20" s="2"/>
      <c r="G20" s="2"/>
      <c r="I20" s="3" t="s">
        <v>29</v>
      </c>
      <c r="M20" s="2"/>
      <c r="N20" s="2"/>
      <c r="O20" s="2"/>
      <c r="P20" s="2"/>
      <c r="Q20" s="2"/>
      <c r="R20" s="2"/>
    </row>
    <row r="21" spans="1:18" x14ac:dyDescent="0.25">
      <c r="A21" s="41"/>
      <c r="B21" s="6"/>
      <c r="C21" s="48" t="s">
        <v>5</v>
      </c>
      <c r="D21" s="48" t="s">
        <v>6</v>
      </c>
      <c r="E21" s="6"/>
      <c r="F21" s="6"/>
      <c r="G21" s="48"/>
      <c r="I21" s="41" t="s">
        <v>5</v>
      </c>
      <c r="J21" s="41" t="s">
        <v>6</v>
      </c>
    </row>
    <row r="22" spans="1:18" x14ac:dyDescent="0.25">
      <c r="A22" s="41" t="s">
        <v>15</v>
      </c>
      <c r="C22" s="49">
        <v>1</v>
      </c>
      <c r="D22" s="49">
        <v>0</v>
      </c>
      <c r="I22" s="42">
        <v>1</v>
      </c>
      <c r="J22" s="42">
        <v>0</v>
      </c>
    </row>
    <row r="23" spans="1:18" x14ac:dyDescent="0.25">
      <c r="A23" s="41" t="s">
        <v>73</v>
      </c>
      <c r="C23" s="49">
        <v>0.84</v>
      </c>
      <c r="D23" s="49">
        <v>1.7320507999999998E-2</v>
      </c>
      <c r="I23" s="42">
        <v>0.84626963350785334</v>
      </c>
      <c r="J23" s="42">
        <v>3.6280871495435248E-2</v>
      </c>
    </row>
    <row r="24" spans="1:18" x14ac:dyDescent="0.25">
      <c r="A24" s="41" t="s">
        <v>74</v>
      </c>
      <c r="C24" s="49">
        <v>0.806666667</v>
      </c>
      <c r="D24" s="49">
        <v>5.1316014E-2</v>
      </c>
      <c r="I24" s="42">
        <v>0.58356321839080461</v>
      </c>
      <c r="J24" s="42">
        <v>2.1213203435596368E-2</v>
      </c>
    </row>
    <row r="25" spans="1:18" x14ac:dyDescent="0.25">
      <c r="A25" s="41" t="s">
        <v>75</v>
      </c>
      <c r="C25" s="49">
        <v>0.86586744999999998</v>
      </c>
      <c r="D25" s="49">
        <v>1.5690223999999999E-2</v>
      </c>
      <c r="I25" s="42">
        <v>0.70902298850574708</v>
      </c>
      <c r="J25" s="42">
        <v>2.1213203435596368E-2</v>
      </c>
    </row>
    <row r="26" spans="1:18" x14ac:dyDescent="0.25">
      <c r="A26" s="41" t="s">
        <v>76</v>
      </c>
      <c r="C26" s="49">
        <v>0.91585908400000005</v>
      </c>
      <c r="D26" s="49">
        <v>5.0936995999999998E-2</v>
      </c>
      <c r="I26" s="42">
        <v>0.78666666666666663</v>
      </c>
      <c r="J26" s="42">
        <v>2.1213203435596368E-2</v>
      </c>
    </row>
    <row r="27" spans="1:18" x14ac:dyDescent="0.25">
      <c r="A27" s="41" t="s">
        <v>77</v>
      </c>
      <c r="C27" s="49">
        <v>0.83245912799999999</v>
      </c>
      <c r="D27" s="49">
        <v>4.0235238999999999E-2</v>
      </c>
      <c r="I27" s="42">
        <v>0.63143678160919536</v>
      </c>
      <c r="J27" s="42">
        <v>1.4142135623730963E-2</v>
      </c>
    </row>
    <row r="28" spans="1:18" x14ac:dyDescent="0.25">
      <c r="A28" s="41" t="s">
        <v>78</v>
      </c>
      <c r="C28" s="49">
        <v>0.80962942900000001</v>
      </c>
      <c r="D28" s="49">
        <v>1.9876713000000001E-2</v>
      </c>
      <c r="I28" s="42">
        <v>0.69453120614115382</v>
      </c>
      <c r="J28" s="42">
        <v>6.6476011249446923E-2</v>
      </c>
    </row>
    <row r="29" spans="1:18" x14ac:dyDescent="0.25">
      <c r="A29" s="41" t="s">
        <v>83</v>
      </c>
      <c r="C29" s="49">
        <v>0.84893358100000005</v>
      </c>
      <c r="D29" s="49">
        <v>2.9713694999999998E-2</v>
      </c>
      <c r="I29" s="42">
        <v>0.61406660408623759</v>
      </c>
      <c r="J29" s="42">
        <v>4.0826264126099347E-2</v>
      </c>
    </row>
    <row r="30" spans="1:18" x14ac:dyDescent="0.25">
      <c r="A30" s="41" t="s">
        <v>79</v>
      </c>
      <c r="C30" s="49">
        <v>0.794264898</v>
      </c>
      <c r="D30" s="49">
        <v>3.7954149E-2</v>
      </c>
      <c r="I30" s="42">
        <v>0.54120612759356213</v>
      </c>
      <c r="J30" s="42">
        <v>8.8439766116991045E-3</v>
      </c>
    </row>
    <row r="31" spans="1:18" x14ac:dyDescent="0.25">
      <c r="A31" s="41" t="s">
        <v>80</v>
      </c>
      <c r="C31" s="49">
        <v>0.64433333299999995</v>
      </c>
      <c r="D31" s="49">
        <v>3.3709544000000001E-2</v>
      </c>
      <c r="I31" s="42">
        <v>0.53333333333333299</v>
      </c>
      <c r="J31" s="42">
        <v>7.0710678118654738E-2</v>
      </c>
    </row>
    <row r="32" spans="1:18" x14ac:dyDescent="0.25">
      <c r="A32" s="41" t="s">
        <v>81</v>
      </c>
      <c r="C32" s="49">
        <v>0.86764982700000004</v>
      </c>
      <c r="D32" s="49">
        <v>3.8291656E-2</v>
      </c>
      <c r="I32" s="42">
        <v>0.87666666666666659</v>
      </c>
      <c r="J32" s="42">
        <v>9.1923881554251172E-2</v>
      </c>
    </row>
    <row r="33" spans="1:12" x14ac:dyDescent="0.25">
      <c r="A33" s="41" t="s">
        <v>82</v>
      </c>
      <c r="C33" s="49">
        <v>0.65092016399999997</v>
      </c>
      <c r="D33" s="49">
        <v>2.9192048000000002E-2</v>
      </c>
      <c r="I33" s="42">
        <v>0.47471264367816096</v>
      </c>
      <c r="J33" s="42">
        <v>2.8284271247461926E-2</v>
      </c>
    </row>
    <row r="35" spans="1:12" x14ac:dyDescent="0.25">
      <c r="A35" s="19" t="s">
        <v>0</v>
      </c>
      <c r="B35" s="19"/>
      <c r="C35" s="19"/>
      <c r="D35" s="19"/>
      <c r="E35" s="19"/>
      <c r="F35" s="19"/>
      <c r="G35" s="19"/>
      <c r="H35" s="19"/>
      <c r="I35" s="41"/>
      <c r="J35" s="41"/>
      <c r="K35" s="41"/>
      <c r="L35" s="41"/>
    </row>
    <row r="36" spans="1:12" s="41" customFormat="1" ht="45" x14ac:dyDescent="0.25">
      <c r="A36" s="19"/>
      <c r="B36" s="6" t="s">
        <v>43</v>
      </c>
      <c r="C36" s="19"/>
      <c r="D36" s="19"/>
      <c r="E36" s="19"/>
      <c r="F36" s="19"/>
      <c r="G36" s="19"/>
      <c r="H36" s="19"/>
    </row>
    <row r="37" spans="1:12" x14ac:dyDescent="0.25">
      <c r="A37" s="41"/>
      <c r="B37" s="2" t="s">
        <v>28</v>
      </c>
      <c r="C37" s="2"/>
      <c r="D37" s="2"/>
      <c r="E37" s="2"/>
      <c r="F37" s="2"/>
      <c r="G37" s="2"/>
      <c r="I37" s="3" t="s">
        <v>29</v>
      </c>
      <c r="J37" s="41"/>
      <c r="K37" s="41"/>
      <c r="L37" s="41"/>
    </row>
    <row r="38" spans="1:12" x14ac:dyDescent="0.25">
      <c r="A38" s="41"/>
      <c r="B38" s="6"/>
      <c r="C38" s="43" t="s">
        <v>5</v>
      </c>
      <c r="D38" s="43" t="s">
        <v>6</v>
      </c>
      <c r="E38" s="6"/>
      <c r="F38" s="6"/>
      <c r="I38" s="41" t="s">
        <v>5</v>
      </c>
      <c r="J38" s="41" t="s">
        <v>6</v>
      </c>
      <c r="K38" s="41"/>
    </row>
    <row r="39" spans="1:12" x14ac:dyDescent="0.25">
      <c r="A39" s="41" t="s">
        <v>15</v>
      </c>
      <c r="B39" s="44"/>
      <c r="C39" s="44">
        <v>1</v>
      </c>
      <c r="D39" s="44">
        <v>0</v>
      </c>
      <c r="F39" s="44"/>
      <c r="I39" s="42">
        <v>1</v>
      </c>
      <c r="J39" s="42">
        <v>0</v>
      </c>
      <c r="K39" s="41"/>
      <c r="L39" s="41"/>
    </row>
    <row r="40" spans="1:12" x14ac:dyDescent="0.25">
      <c r="A40" s="41" t="s">
        <v>73</v>
      </c>
      <c r="B40" s="44"/>
      <c r="C40" s="44">
        <v>0.98735927800288348</v>
      </c>
      <c r="D40" s="44">
        <v>1.7932136806594529E-2</v>
      </c>
      <c r="F40" s="44"/>
      <c r="I40" s="42">
        <v>0.84626963350785334</v>
      </c>
      <c r="J40" s="42">
        <v>3.6280871495435248E-2</v>
      </c>
      <c r="K40" s="41"/>
      <c r="L40" s="41"/>
    </row>
    <row r="41" spans="1:12" x14ac:dyDescent="0.25">
      <c r="A41" s="41" t="s">
        <v>74</v>
      </c>
      <c r="B41" s="44"/>
      <c r="C41" s="44">
        <v>0.80878519709834329</v>
      </c>
      <c r="D41" s="44">
        <v>1.3869183406791894E-2</v>
      </c>
      <c r="F41" s="44"/>
      <c r="I41" s="42">
        <v>0.58356321839080461</v>
      </c>
      <c r="J41" s="42">
        <v>2.1213203435596368E-2</v>
      </c>
      <c r="K41" s="41"/>
      <c r="L41" s="41"/>
    </row>
    <row r="42" spans="1:12" x14ac:dyDescent="0.25">
      <c r="A42" s="41" t="s">
        <v>75</v>
      </c>
      <c r="B42" s="44"/>
      <c r="C42" s="44">
        <v>0.84894408266368149</v>
      </c>
      <c r="D42" s="44">
        <v>1.4217435512041047E-2</v>
      </c>
      <c r="F42" s="44"/>
      <c r="I42" s="42">
        <v>0.70902298850574708</v>
      </c>
      <c r="J42" s="42">
        <v>2.1213203435596368E-2</v>
      </c>
      <c r="K42" s="41"/>
      <c r="L42" s="41"/>
    </row>
    <row r="43" spans="1:12" x14ac:dyDescent="0.25">
      <c r="A43" s="41" t="s">
        <v>76</v>
      </c>
      <c r="B43" s="44"/>
      <c r="C43" s="44">
        <v>0.96050031306040273</v>
      </c>
      <c r="D43" s="44">
        <v>1.2456235069958275E-2</v>
      </c>
      <c r="F43" s="44"/>
      <c r="I43" s="42">
        <v>0.78666666666666663</v>
      </c>
      <c r="J43" s="42">
        <v>2.1213203435596368E-2</v>
      </c>
      <c r="K43" s="41"/>
      <c r="L43" s="41"/>
    </row>
    <row r="44" spans="1:12" x14ac:dyDescent="0.25">
      <c r="A44" s="41" t="s">
        <v>77</v>
      </c>
      <c r="B44" s="44"/>
      <c r="C44" s="44">
        <v>0.94952548708507167</v>
      </c>
      <c r="D44" s="44">
        <v>2.2664790262427566E-2</v>
      </c>
      <c r="F44" s="44"/>
      <c r="I44" s="42">
        <v>0.63143678160919536</v>
      </c>
      <c r="J44" s="42">
        <v>1.4142135623730963E-2</v>
      </c>
      <c r="K44" s="41"/>
      <c r="L44" s="41"/>
    </row>
    <row r="45" spans="1:12" x14ac:dyDescent="0.25">
      <c r="A45" s="41" t="s">
        <v>78</v>
      </c>
      <c r="B45" s="44"/>
      <c r="C45" s="44">
        <v>0.84026228944007297</v>
      </c>
      <c r="D45" s="44">
        <v>9.5292406229061082E-3</v>
      </c>
      <c r="F45" s="44"/>
      <c r="I45" s="42">
        <v>0.69453120614115382</v>
      </c>
      <c r="J45" s="42">
        <v>6.6476011249446923E-2</v>
      </c>
      <c r="K45" s="41"/>
      <c r="L45" s="41"/>
    </row>
    <row r="46" spans="1:12" x14ac:dyDescent="0.25">
      <c r="A46" s="41" t="s">
        <v>83</v>
      </c>
      <c r="B46" s="44"/>
      <c r="C46" s="44">
        <v>0.9459824584070623</v>
      </c>
      <c r="D46" s="44">
        <v>2.9203100762842343E-3</v>
      </c>
      <c r="F46" s="44"/>
      <c r="I46" s="42">
        <v>0.61406660408623759</v>
      </c>
      <c r="J46" s="42">
        <v>4.0826264126099347E-2</v>
      </c>
      <c r="K46" s="41"/>
      <c r="L46" s="41"/>
    </row>
    <row r="47" spans="1:12" x14ac:dyDescent="0.25">
      <c r="A47" s="41" t="s">
        <v>79</v>
      </c>
      <c r="B47" s="44"/>
      <c r="C47" s="44">
        <v>0.85980509138422656</v>
      </c>
      <c r="D47" s="44">
        <v>2.8758814676164566E-2</v>
      </c>
      <c r="F47" s="44"/>
      <c r="I47" s="42">
        <v>0.54120612759356213</v>
      </c>
      <c r="J47" s="42">
        <v>8.8439766116991045E-3</v>
      </c>
      <c r="K47" s="41"/>
      <c r="L47" s="41"/>
    </row>
    <row r="48" spans="1:12" x14ac:dyDescent="0.25">
      <c r="A48" s="41" t="s">
        <v>80</v>
      </c>
      <c r="B48" s="44"/>
      <c r="C48" s="44">
        <v>0.82975954335441593</v>
      </c>
      <c r="D48" s="44">
        <v>1.2223652118235723E-2</v>
      </c>
      <c r="F48" s="44"/>
      <c r="I48" s="42">
        <v>0.53333333333333299</v>
      </c>
      <c r="J48" s="42">
        <v>7.0710678118654738E-2</v>
      </c>
      <c r="K48" s="41"/>
      <c r="L48" s="41"/>
    </row>
    <row r="49" spans="1:12" x14ac:dyDescent="0.25">
      <c r="A49" s="41" t="s">
        <v>81</v>
      </c>
      <c r="B49" s="44"/>
      <c r="C49" s="44">
        <v>0.98418601318678312</v>
      </c>
      <c r="D49" s="44">
        <v>6.4092607792014577E-3</v>
      </c>
      <c r="F49" s="44"/>
      <c r="I49" s="42">
        <v>0.87666666666666659</v>
      </c>
      <c r="J49" s="42">
        <v>9.1923881554251172E-2</v>
      </c>
      <c r="K49" s="41"/>
      <c r="L49" s="41"/>
    </row>
    <row r="50" spans="1:12" x14ac:dyDescent="0.25">
      <c r="A50" s="41" t="s">
        <v>82</v>
      </c>
      <c r="B50" s="44"/>
      <c r="C50" s="44">
        <v>0.75787744989703809</v>
      </c>
      <c r="D50" s="44">
        <v>2.2792107133098833E-2</v>
      </c>
      <c r="F50" s="44"/>
      <c r="I50" s="42">
        <v>0.47471264367816096</v>
      </c>
      <c r="J50" s="42">
        <v>2.8284271247461926E-2</v>
      </c>
      <c r="K50" s="41"/>
      <c r="L50" s="41"/>
    </row>
    <row r="52" spans="1:12" x14ac:dyDescent="0.25">
      <c r="A52" s="19" t="s">
        <v>8</v>
      </c>
      <c r="B52" s="19"/>
      <c r="C52" s="19"/>
      <c r="D52" s="19"/>
      <c r="E52" s="19"/>
      <c r="F52" s="19"/>
      <c r="G52" s="19"/>
      <c r="H52" s="19"/>
    </row>
    <row r="53" spans="1:12" s="41" customFormat="1" ht="60" x14ac:dyDescent="0.25">
      <c r="A53" s="19"/>
      <c r="B53" s="6" t="s">
        <v>41</v>
      </c>
      <c r="C53" s="19"/>
      <c r="D53" s="19"/>
      <c r="E53" s="19"/>
      <c r="F53" s="19"/>
      <c r="G53" s="19"/>
      <c r="H53" s="19"/>
    </row>
    <row r="54" spans="1:12" x14ac:dyDescent="0.25">
      <c r="A54" s="41"/>
      <c r="B54" s="2" t="s">
        <v>28</v>
      </c>
      <c r="C54" s="2"/>
      <c r="D54" s="2"/>
      <c r="E54" s="2"/>
      <c r="F54" s="2"/>
      <c r="G54" s="2"/>
      <c r="I54" s="3" t="s">
        <v>29</v>
      </c>
      <c r="J54" s="41"/>
      <c r="K54" s="41"/>
      <c r="L54" s="41"/>
    </row>
    <row r="55" spans="1:12" x14ac:dyDescent="0.25">
      <c r="A55" s="41"/>
      <c r="B55" s="6"/>
      <c r="C55" s="45" t="s">
        <v>5</v>
      </c>
      <c r="D55" s="45" t="s">
        <v>6</v>
      </c>
      <c r="E55" s="6"/>
      <c r="F55" s="6"/>
      <c r="G55" s="45"/>
      <c r="I55" s="41" t="s">
        <v>5</v>
      </c>
      <c r="J55" s="41" t="s">
        <v>6</v>
      </c>
      <c r="K55" s="41"/>
    </row>
    <row r="56" spans="1:12" x14ac:dyDescent="0.25">
      <c r="A56" s="41" t="s">
        <v>15</v>
      </c>
      <c r="C56" s="46">
        <v>1</v>
      </c>
      <c r="D56" s="46">
        <v>0</v>
      </c>
      <c r="I56" s="42">
        <v>1</v>
      </c>
      <c r="J56" s="42">
        <v>0</v>
      </c>
      <c r="K56" s="41"/>
      <c r="L56" s="41"/>
    </row>
    <row r="57" spans="1:12" x14ac:dyDescent="0.25">
      <c r="A57" s="41" t="s">
        <v>73</v>
      </c>
      <c r="C57" s="46">
        <v>0.90507561625371391</v>
      </c>
      <c r="D57" s="46">
        <v>4.6811878925734372E-2</v>
      </c>
      <c r="I57" s="42">
        <v>0.84626963350785334</v>
      </c>
      <c r="J57" s="42">
        <v>3.6280871495435248E-2</v>
      </c>
      <c r="K57" s="41"/>
      <c r="L57" s="41"/>
    </row>
    <row r="58" spans="1:12" x14ac:dyDescent="0.25">
      <c r="A58" s="41" t="s">
        <v>74</v>
      </c>
      <c r="C58" s="46">
        <v>0.66989189766176127</v>
      </c>
      <c r="D58" s="46">
        <v>5.8313655800990544E-2</v>
      </c>
      <c r="I58" s="42">
        <v>0.58356321839080461</v>
      </c>
      <c r="J58" s="42">
        <v>2.1213203435596368E-2</v>
      </c>
      <c r="K58" s="41"/>
      <c r="L58" s="41"/>
    </row>
    <row r="59" spans="1:12" x14ac:dyDescent="0.25">
      <c r="A59" s="41" t="s">
        <v>75</v>
      </c>
      <c r="C59" s="46">
        <v>0.76686460665154543</v>
      </c>
      <c r="D59" s="46">
        <v>4.6207923778746433E-2</v>
      </c>
      <c r="I59" s="42">
        <v>0.70902298850574708</v>
      </c>
      <c r="J59" s="42">
        <v>2.1213203435596368E-2</v>
      </c>
      <c r="K59" s="41"/>
      <c r="L59" s="41"/>
    </row>
    <row r="60" spans="1:12" x14ac:dyDescent="0.25">
      <c r="A60" s="41" t="s">
        <v>76</v>
      </c>
      <c r="C60" s="46">
        <v>0.78045190713616008</v>
      </c>
      <c r="D60" s="46">
        <v>6.5432800709485081E-2</v>
      </c>
      <c r="I60" s="42">
        <v>0.78666666666666663</v>
      </c>
      <c r="J60" s="42">
        <v>2.1213203435596368E-2</v>
      </c>
      <c r="K60" s="41"/>
      <c r="L60" s="41"/>
    </row>
    <row r="61" spans="1:12" x14ac:dyDescent="0.25">
      <c r="A61" s="41" t="s">
        <v>77</v>
      </c>
      <c r="C61" s="46">
        <v>0.64054275619894252</v>
      </c>
      <c r="D61" s="46">
        <v>3.1753692655470234E-2</v>
      </c>
      <c r="I61" s="42">
        <v>0.63143678160919536</v>
      </c>
      <c r="J61" s="42">
        <v>1.4142135623730963E-2</v>
      </c>
      <c r="K61" s="41"/>
      <c r="L61" s="41"/>
    </row>
    <row r="62" spans="1:12" x14ac:dyDescent="0.25">
      <c r="A62" s="41" t="s">
        <v>78</v>
      </c>
      <c r="C62" s="46">
        <v>0.71719648343959763</v>
      </c>
      <c r="D62" s="46">
        <v>1.2308309565759694E-2</v>
      </c>
      <c r="I62" s="42">
        <v>0.69453120614115382</v>
      </c>
      <c r="J62" s="42">
        <v>6.6476011249446923E-2</v>
      </c>
      <c r="K62" s="41"/>
      <c r="L62" s="41"/>
    </row>
    <row r="63" spans="1:12" x14ac:dyDescent="0.25">
      <c r="A63" s="41" t="s">
        <v>83</v>
      </c>
      <c r="C63" s="46">
        <v>0.81888798760593973</v>
      </c>
      <c r="D63" s="46">
        <v>3.7281207828241181E-2</v>
      </c>
      <c r="I63" s="42">
        <v>0.61406660408623759</v>
      </c>
      <c r="J63" s="42">
        <v>4.0826264126099347E-2</v>
      </c>
      <c r="K63" s="41"/>
      <c r="L63" s="41"/>
    </row>
    <row r="64" spans="1:12" x14ac:dyDescent="0.25">
      <c r="A64" s="41" t="s">
        <v>79</v>
      </c>
      <c r="C64" s="46">
        <v>0.64911069447447967</v>
      </c>
      <c r="D64" s="46">
        <v>1.5845910465145038E-2</v>
      </c>
      <c r="I64" s="42">
        <v>0.54120612759356213</v>
      </c>
      <c r="J64" s="42">
        <v>8.8439766116991045E-3</v>
      </c>
      <c r="K64" s="41"/>
      <c r="L64" s="41"/>
    </row>
    <row r="65" spans="1:12" x14ac:dyDescent="0.25">
      <c r="A65" s="41" t="s">
        <v>80</v>
      </c>
      <c r="C65" s="46">
        <v>0.56991371450500272</v>
      </c>
      <c r="D65" s="46">
        <v>2.3289106407800842E-2</v>
      </c>
      <c r="I65" s="42">
        <v>0.53333333333333299</v>
      </c>
      <c r="J65" s="42">
        <v>7.0710678118654738E-2</v>
      </c>
      <c r="K65" s="41"/>
      <c r="L65" s="41"/>
    </row>
    <row r="66" spans="1:12" x14ac:dyDescent="0.25">
      <c r="A66" s="41" t="s">
        <v>81</v>
      </c>
      <c r="C66" s="46">
        <v>0.87673708222214719</v>
      </c>
      <c r="D66" s="46">
        <v>2.7373211563473134E-2</v>
      </c>
      <c r="I66" s="42">
        <v>0.87666666666666659</v>
      </c>
      <c r="J66" s="42">
        <v>9.1923881554251172E-2</v>
      </c>
      <c r="K66" s="41"/>
      <c r="L66" s="41"/>
    </row>
    <row r="67" spans="1:12" x14ac:dyDescent="0.25">
      <c r="A67" s="41" t="s">
        <v>82</v>
      </c>
      <c r="C67" s="46">
        <v>0.59923979817542039</v>
      </c>
      <c r="D67" s="46">
        <v>1.2104160416504535E-2</v>
      </c>
      <c r="I67" s="42">
        <v>0.47471264367816096</v>
      </c>
      <c r="J67" s="42">
        <v>2.8284271247461926E-2</v>
      </c>
      <c r="K67" s="41"/>
      <c r="L67" s="41"/>
    </row>
  </sheetData>
  <mergeCells count="5">
    <mergeCell ref="B3:G3"/>
    <mergeCell ref="M20:R20"/>
    <mergeCell ref="B37:G37"/>
    <mergeCell ref="B54:G54"/>
    <mergeCell ref="B20:G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A17" sqref="A17"/>
    </sheetView>
  </sheetViews>
  <sheetFormatPr defaultRowHeight="15" x14ac:dyDescent="0.25"/>
  <cols>
    <col min="1" max="1" width="37.7109375" bestFit="1" customWidth="1"/>
    <col min="2" max="2" width="33.42578125" bestFit="1" customWidth="1"/>
  </cols>
  <sheetData>
    <row r="1" spans="1:3" x14ac:dyDescent="0.25">
      <c r="A1" s="19" t="s">
        <v>133</v>
      </c>
      <c r="B1" s="50"/>
    </row>
    <row r="2" spans="1:3" x14ac:dyDescent="0.25">
      <c r="A2" s="50"/>
      <c r="B2" s="50" t="s">
        <v>138</v>
      </c>
    </row>
    <row r="3" spans="1:3" x14ac:dyDescent="0.25">
      <c r="B3" t="s">
        <v>5</v>
      </c>
      <c r="C3" s="52" t="s">
        <v>6</v>
      </c>
    </row>
    <row r="4" spans="1:3" x14ac:dyDescent="0.25">
      <c r="A4" s="50" t="s">
        <v>141</v>
      </c>
      <c r="B4" s="51">
        <v>0.82399966252557422</v>
      </c>
      <c r="C4" s="53">
        <v>8.4586602031574629E-2</v>
      </c>
    </row>
    <row r="5" spans="1:3" x14ac:dyDescent="0.25">
      <c r="A5" s="50" t="s">
        <v>142</v>
      </c>
      <c r="B5" s="51">
        <v>0.60209480952380956</v>
      </c>
      <c r="C5" s="53">
        <v>4.3387141164989755E-2</v>
      </c>
    </row>
    <row r="6" spans="1:3" x14ac:dyDescent="0.25">
      <c r="A6" s="50"/>
      <c r="B6" s="51"/>
      <c r="C6" s="53"/>
    </row>
    <row r="7" spans="1:3" x14ac:dyDescent="0.25">
      <c r="A7" s="50"/>
      <c r="B7" s="50"/>
      <c r="C7" s="53"/>
    </row>
    <row r="8" spans="1:3" x14ac:dyDescent="0.25">
      <c r="A8" s="19" t="s">
        <v>0</v>
      </c>
      <c r="B8" s="50"/>
      <c r="C8" s="52"/>
    </row>
    <row r="9" spans="1:3" x14ac:dyDescent="0.25">
      <c r="A9" s="50"/>
      <c r="B9" s="52" t="s">
        <v>138</v>
      </c>
      <c r="C9" s="52"/>
    </row>
    <row r="10" spans="1:3" x14ac:dyDescent="0.25">
      <c r="B10" s="52" t="s">
        <v>5</v>
      </c>
      <c r="C10" s="52" t="s">
        <v>6</v>
      </c>
    </row>
    <row r="11" spans="1:3" x14ac:dyDescent="0.25">
      <c r="A11" s="50" t="s">
        <v>139</v>
      </c>
      <c r="B11" s="51">
        <v>0.93611428571428568</v>
      </c>
      <c r="C11" s="53">
        <v>3.2746771144773375E-2</v>
      </c>
    </row>
    <row r="12" spans="1:3" x14ac:dyDescent="0.25">
      <c r="A12" s="50" t="s">
        <v>140</v>
      </c>
      <c r="B12" s="51">
        <v>0.65563618850758976</v>
      </c>
      <c r="C12" s="53">
        <v>9.3606140251026523E-2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opLeftCell="A16" workbookViewId="0">
      <selection activeCell="E40" sqref="E40"/>
    </sheetView>
  </sheetViews>
  <sheetFormatPr defaultRowHeight="15" x14ac:dyDescent="0.25"/>
  <cols>
    <col min="1" max="1" width="35.28515625" bestFit="1" customWidth="1"/>
    <col min="2" max="2" width="25.85546875" bestFit="1" customWidth="1"/>
    <col min="5" max="5" width="10.28515625" bestFit="1" customWidth="1"/>
  </cols>
  <sheetData>
    <row r="1" spans="1:12" x14ac:dyDescent="0.25">
      <c r="A1" s="19" t="s">
        <v>133</v>
      </c>
      <c r="B1" s="52"/>
      <c r="C1" s="52"/>
    </row>
    <row r="2" spans="1:12" x14ac:dyDescent="0.25">
      <c r="A2" s="52"/>
      <c r="B2" s="52" t="s">
        <v>138</v>
      </c>
      <c r="C2" s="52"/>
    </row>
    <row r="3" spans="1:12" x14ac:dyDescent="0.25">
      <c r="A3" s="52"/>
      <c r="B3" s="52" t="s">
        <v>5</v>
      </c>
      <c r="C3" s="52" t="s">
        <v>6</v>
      </c>
    </row>
    <row r="4" spans="1:12" x14ac:dyDescent="0.25">
      <c r="A4" s="54" t="s">
        <v>143</v>
      </c>
      <c r="B4" s="55">
        <v>0.80028331770196959</v>
      </c>
      <c r="C4" s="55">
        <v>1.0127818020721721E-2</v>
      </c>
    </row>
    <row r="5" spans="1:12" x14ac:dyDescent="0.25">
      <c r="A5" s="54" t="s">
        <v>144</v>
      </c>
      <c r="B5" s="55">
        <v>0.79463150992723486</v>
      </c>
      <c r="C5" s="55">
        <v>8.0232125008549135E-2</v>
      </c>
    </row>
    <row r="6" spans="1:12" x14ac:dyDescent="0.25">
      <c r="A6" s="54" t="s">
        <v>145</v>
      </c>
      <c r="B6" s="55">
        <v>0.76150405650539488</v>
      </c>
      <c r="C6" s="55">
        <v>3.1991618973079998E-2</v>
      </c>
    </row>
    <row r="7" spans="1:12" x14ac:dyDescent="0.25">
      <c r="A7" s="54" t="s">
        <v>146</v>
      </c>
      <c r="B7" s="55">
        <v>0.70562439362439344</v>
      </c>
      <c r="C7" s="55">
        <v>2.2259085773945166E-2</v>
      </c>
    </row>
    <row r="8" spans="1:12" x14ac:dyDescent="0.25">
      <c r="A8" s="54" t="s">
        <v>147</v>
      </c>
      <c r="B8" s="55">
        <v>0.57216312056737595</v>
      </c>
      <c r="C8" s="55">
        <v>6.2772427842954476E-2</v>
      </c>
    </row>
    <row r="10" spans="1:12" x14ac:dyDescent="0.25">
      <c r="A10" s="19" t="s">
        <v>44</v>
      </c>
      <c r="B10" s="54"/>
      <c r="C10" s="54"/>
      <c r="K10" s="58" t="s">
        <v>152</v>
      </c>
    </row>
    <row r="11" spans="1:12" x14ac:dyDescent="0.25">
      <c r="A11" s="54"/>
      <c r="B11" s="54" t="s">
        <v>138</v>
      </c>
      <c r="C11" s="54"/>
      <c r="K11" s="56" t="s">
        <v>138</v>
      </c>
      <c r="L11" s="56"/>
    </row>
    <row r="12" spans="1:12" x14ac:dyDescent="0.25">
      <c r="A12" s="54"/>
      <c r="B12" s="54" t="s">
        <v>5</v>
      </c>
      <c r="C12" s="54" t="s">
        <v>6</v>
      </c>
      <c r="K12" s="56" t="s">
        <v>5</v>
      </c>
      <c r="L12" s="56" t="s">
        <v>6</v>
      </c>
    </row>
    <row r="13" spans="1:12" x14ac:dyDescent="0.25">
      <c r="A13" s="54" t="s">
        <v>148</v>
      </c>
      <c r="B13" s="57">
        <v>0.95076666666666654</v>
      </c>
      <c r="C13" s="57">
        <v>4.1155356071030789E-2</v>
      </c>
      <c r="G13" s="56" t="s">
        <v>144</v>
      </c>
      <c r="K13" s="60">
        <v>0.99434819222526516</v>
      </c>
      <c r="L13" s="60">
        <v>7.4590945382870769E-2</v>
      </c>
    </row>
    <row r="14" spans="1:12" x14ac:dyDescent="0.25">
      <c r="A14" s="54" t="s">
        <v>149</v>
      </c>
      <c r="B14" s="57">
        <v>0.91500000000000004</v>
      </c>
      <c r="C14" s="57">
        <v>1.5394804318340666E-2</v>
      </c>
      <c r="G14" s="56" t="s">
        <v>145</v>
      </c>
      <c r="K14" s="60">
        <v>0.96122073880342518</v>
      </c>
      <c r="L14" s="60">
        <v>2.4360444046872435E-2</v>
      </c>
    </row>
    <row r="15" spans="1:12" x14ac:dyDescent="0.25">
      <c r="A15" s="54" t="s">
        <v>150</v>
      </c>
      <c r="B15" s="57">
        <v>0.97000000000000008</v>
      </c>
      <c r="C15" s="57">
        <v>2.6457513110645932E-2</v>
      </c>
      <c r="G15" s="56" t="s">
        <v>146</v>
      </c>
      <c r="K15" s="60">
        <v>0.90534107592242385</v>
      </c>
      <c r="L15" s="60">
        <v>2.0253263642166539E-2</v>
      </c>
    </row>
    <row r="16" spans="1:12" x14ac:dyDescent="0.25">
      <c r="A16" s="54" t="s">
        <v>151</v>
      </c>
      <c r="B16" s="57">
        <v>0.79</v>
      </c>
      <c r="C16" s="57">
        <v>3.6055512754639883E-2</v>
      </c>
      <c r="G16" s="56" t="s">
        <v>147</v>
      </c>
      <c r="K16" s="60">
        <v>0.77187980286540625</v>
      </c>
      <c r="L16" s="60">
        <v>5.371647761580095E-2</v>
      </c>
    </row>
    <row r="17" spans="1:12" x14ac:dyDescent="0.25">
      <c r="E17" s="56"/>
    </row>
    <row r="18" spans="1:12" x14ac:dyDescent="0.25">
      <c r="E18" s="56"/>
    </row>
    <row r="19" spans="1:12" x14ac:dyDescent="0.25">
      <c r="A19" s="19" t="s">
        <v>8</v>
      </c>
      <c r="E19" s="56"/>
    </row>
    <row r="20" spans="1:12" x14ac:dyDescent="0.25">
      <c r="B20" s="59" t="s">
        <v>138</v>
      </c>
      <c r="C20" s="59"/>
      <c r="E20" s="56"/>
    </row>
    <row r="21" spans="1:12" x14ac:dyDescent="0.25">
      <c r="B21" s="59" t="s">
        <v>5</v>
      </c>
      <c r="C21" s="59" t="s">
        <v>6</v>
      </c>
    </row>
    <row r="22" spans="1:12" x14ac:dyDescent="0.25">
      <c r="A22" s="59" t="s">
        <v>153</v>
      </c>
      <c r="B22" s="61">
        <v>0.81</v>
      </c>
      <c r="C22" s="61">
        <v>2.9999999999999971E-2</v>
      </c>
    </row>
    <row r="23" spans="1:12" x14ac:dyDescent="0.25">
      <c r="A23" s="59" t="s">
        <v>154</v>
      </c>
      <c r="B23" s="61">
        <v>0.70478170478170477</v>
      </c>
      <c r="C23" s="61">
        <v>5.1812090543793585E-2</v>
      </c>
      <c r="E23" s="64"/>
    </row>
    <row r="24" spans="1:12" x14ac:dyDescent="0.25">
      <c r="A24" s="59" t="s">
        <v>155</v>
      </c>
      <c r="B24" s="61">
        <v>0.75310734463276841</v>
      </c>
      <c r="C24" s="61">
        <v>4.6451766990109881E-2</v>
      </c>
      <c r="E24" s="64"/>
    </row>
    <row r="25" spans="1:12" x14ac:dyDescent="0.25">
      <c r="A25" s="59" t="s">
        <v>156</v>
      </c>
      <c r="B25" s="61">
        <v>0.69361702127659575</v>
      </c>
      <c r="C25" s="61">
        <v>1.5021236413262669E-2</v>
      </c>
    </row>
    <row r="26" spans="1:12" x14ac:dyDescent="0.25">
      <c r="A26" s="59" t="s">
        <v>157</v>
      </c>
      <c r="B26" s="61">
        <v>0.59148936170212763</v>
      </c>
      <c r="C26" s="61">
        <v>4.8086570769757073E-2</v>
      </c>
    </row>
    <row r="28" spans="1:12" x14ac:dyDescent="0.25">
      <c r="A28" s="19" t="s">
        <v>12</v>
      </c>
      <c r="I28" s="19"/>
      <c r="J28" s="52"/>
      <c r="K28" s="59" t="s">
        <v>162</v>
      </c>
    </row>
    <row r="29" spans="1:12" x14ac:dyDescent="0.25">
      <c r="A29" s="59"/>
      <c r="B29" s="59" t="s">
        <v>138</v>
      </c>
      <c r="I29" s="52"/>
      <c r="J29" s="52"/>
      <c r="K29" s="59" t="s">
        <v>138</v>
      </c>
    </row>
    <row r="30" spans="1:12" x14ac:dyDescent="0.25">
      <c r="A30" s="59"/>
      <c r="B30" s="59" t="s">
        <v>5</v>
      </c>
      <c r="I30" s="52"/>
      <c r="J30" s="52"/>
      <c r="K30" s="59" t="s">
        <v>5</v>
      </c>
      <c r="L30" s="63" t="s">
        <v>6</v>
      </c>
    </row>
    <row r="31" spans="1:12" x14ac:dyDescent="0.25">
      <c r="A31" s="59" t="s">
        <v>158</v>
      </c>
      <c r="B31" s="62">
        <v>0.93</v>
      </c>
      <c r="C31" s="62">
        <v>7.0000000000000021E-2</v>
      </c>
      <c r="G31" s="59" t="s">
        <v>154</v>
      </c>
      <c r="K31" s="64">
        <v>0.89478170478170471</v>
      </c>
      <c r="L31" s="64">
        <v>5.9506219954580095E-2</v>
      </c>
    </row>
    <row r="32" spans="1:12" x14ac:dyDescent="0.25">
      <c r="A32" s="59" t="s">
        <v>159</v>
      </c>
      <c r="B32" s="62">
        <v>0.92</v>
      </c>
      <c r="C32" s="62">
        <v>1.0000000000000009E-2</v>
      </c>
      <c r="G32" s="59" t="s">
        <v>155</v>
      </c>
      <c r="K32" s="64">
        <v>0.94310734463276835</v>
      </c>
      <c r="L32" s="64">
        <v>6.5482549175741284E-2</v>
      </c>
    </row>
    <row r="33" spans="1:12" x14ac:dyDescent="0.25">
      <c r="A33" s="59" t="s">
        <v>160</v>
      </c>
      <c r="B33" s="62">
        <v>0.83199999999999996</v>
      </c>
      <c r="C33" s="62">
        <v>4.4377171308380307E-2</v>
      </c>
      <c r="G33" s="59" t="s">
        <v>156</v>
      </c>
      <c r="K33" s="64">
        <v>0.88361702127659569</v>
      </c>
      <c r="L33" s="64">
        <v>1.5021236413262726E-2</v>
      </c>
    </row>
    <row r="34" spans="1:12" x14ac:dyDescent="0.25">
      <c r="A34" s="59" t="s">
        <v>161</v>
      </c>
      <c r="B34" s="62">
        <v>0.78</v>
      </c>
      <c r="C34" s="62">
        <v>2.502665245959464E-2</v>
      </c>
      <c r="G34" s="59" t="s">
        <v>157</v>
      </c>
      <c r="K34" s="64">
        <v>0.78148936170212757</v>
      </c>
      <c r="L34" s="64">
        <v>3.434330798979484E-2</v>
      </c>
    </row>
    <row r="35" spans="1:12" x14ac:dyDescent="0.25">
      <c r="B35" s="5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F16" sqref="F16"/>
    </sheetView>
  </sheetViews>
  <sheetFormatPr defaultRowHeight="15" x14ac:dyDescent="0.25"/>
  <cols>
    <col min="1" max="1" width="16.140625" bestFit="1" customWidth="1"/>
    <col min="2" max="2" width="45.42578125" bestFit="1" customWidth="1"/>
  </cols>
  <sheetData>
    <row r="1" spans="1:3" s="65" customFormat="1" x14ac:dyDescent="0.25">
      <c r="A1" s="19" t="s">
        <v>44</v>
      </c>
    </row>
    <row r="2" spans="1:3" x14ac:dyDescent="0.25">
      <c r="B2" s="65" t="s">
        <v>129</v>
      </c>
      <c r="C2" s="65"/>
    </row>
    <row r="3" spans="1:3" x14ac:dyDescent="0.25">
      <c r="A3" s="65"/>
      <c r="B3" s="65" t="s">
        <v>5</v>
      </c>
      <c r="C3" s="65" t="s">
        <v>130</v>
      </c>
    </row>
    <row r="4" spans="1:3" x14ac:dyDescent="0.25">
      <c r="A4" s="65" t="s">
        <v>51</v>
      </c>
      <c r="B4" s="67">
        <v>0</v>
      </c>
      <c r="C4" s="67">
        <v>0</v>
      </c>
    </row>
    <row r="5" spans="1:3" x14ac:dyDescent="0.25">
      <c r="A5" s="65" t="s">
        <v>53</v>
      </c>
      <c r="B5" s="67">
        <v>1.2795698924731182E-2</v>
      </c>
      <c r="C5" s="67">
        <v>0.01</v>
      </c>
    </row>
    <row r="6" spans="1:3" x14ac:dyDescent="0.25">
      <c r="A6" s="65" t="s">
        <v>62</v>
      </c>
      <c r="B6" s="67">
        <v>2.3709677419354837E-2</v>
      </c>
      <c r="C6" s="67">
        <v>1.4999999999999999E-2</v>
      </c>
    </row>
    <row r="7" spans="1:3" x14ac:dyDescent="0.25">
      <c r="A7" s="65" t="s">
        <v>63</v>
      </c>
      <c r="B7" s="67">
        <v>9.7473118279569892E-2</v>
      </c>
      <c r="C7" s="67">
        <v>0.01</v>
      </c>
    </row>
    <row r="8" spans="1:3" x14ac:dyDescent="0.25">
      <c r="A8" s="65" t="s">
        <v>54</v>
      </c>
      <c r="B8" s="67">
        <v>7.9408602150537605E-2</v>
      </c>
      <c r="C8" s="67">
        <v>1.4999999999999999E-2</v>
      </c>
    </row>
    <row r="9" spans="1:3" x14ac:dyDescent="0.25">
      <c r="A9" s="65" t="s">
        <v>55</v>
      </c>
      <c r="B9" s="67">
        <v>0.10499999999999997</v>
      </c>
      <c r="C9" s="67">
        <v>0.03</v>
      </c>
    </row>
    <row r="10" spans="1:3" x14ac:dyDescent="0.25">
      <c r="A10" s="65" t="s">
        <v>64</v>
      </c>
      <c r="B10" s="67">
        <v>0</v>
      </c>
      <c r="C10" s="67">
        <v>3.0000000000000001E-3</v>
      </c>
    </row>
    <row r="11" spans="1:3" x14ac:dyDescent="0.25">
      <c r="A11" s="65" t="s">
        <v>56</v>
      </c>
      <c r="B11" s="67">
        <v>0.10499999999999997</v>
      </c>
      <c r="C11" s="67">
        <v>0.01</v>
      </c>
    </row>
    <row r="12" spans="1:3" x14ac:dyDescent="0.25">
      <c r="A12" s="65" t="s">
        <v>57</v>
      </c>
      <c r="B12" s="67">
        <v>7.6021505376344084E-2</v>
      </c>
      <c r="C12" s="67">
        <v>0.02</v>
      </c>
    </row>
    <row r="13" spans="1:3" x14ac:dyDescent="0.25">
      <c r="A13" s="65" t="s">
        <v>58</v>
      </c>
      <c r="B13" s="67">
        <v>0</v>
      </c>
      <c r="C13" s="67">
        <v>1E-3</v>
      </c>
    </row>
    <row r="14" spans="1:3" x14ac:dyDescent="0.25">
      <c r="A14" s="65" t="s">
        <v>65</v>
      </c>
      <c r="B14" s="67">
        <v>0</v>
      </c>
      <c r="C14" s="67">
        <v>2E-3</v>
      </c>
    </row>
    <row r="15" spans="1:3" x14ac:dyDescent="0.25">
      <c r="A15" s="65" t="s">
        <v>59</v>
      </c>
      <c r="B15" s="67">
        <v>5.6075268817204281E-2</v>
      </c>
      <c r="C15" s="67">
        <v>0.02</v>
      </c>
    </row>
    <row r="16" spans="1:3" x14ac:dyDescent="0.25">
      <c r="A16" s="65" t="s">
        <v>66</v>
      </c>
      <c r="B16" s="67">
        <v>4.5913978494623649E-2</v>
      </c>
      <c r="C16" s="67">
        <v>2.3E-2</v>
      </c>
    </row>
    <row r="17" spans="1:3" x14ac:dyDescent="0.25">
      <c r="A17" s="65" t="s">
        <v>60</v>
      </c>
      <c r="B17" s="67">
        <v>8.561827956989243E-2</v>
      </c>
      <c r="C17" s="67">
        <v>0.02</v>
      </c>
    </row>
    <row r="18" spans="1:3" x14ac:dyDescent="0.25">
      <c r="A18" s="65" t="s">
        <v>61</v>
      </c>
      <c r="B18" s="67">
        <v>5.8200000000000002E-2</v>
      </c>
      <c r="C18" s="67">
        <v>2.5000000000000001E-2</v>
      </c>
    </row>
    <row r="19" spans="1:3" x14ac:dyDescent="0.25">
      <c r="A19" s="65" t="s">
        <v>67</v>
      </c>
      <c r="B19" s="67">
        <v>2.5215053763440857E-2</v>
      </c>
      <c r="C19" s="67">
        <v>2.3E-2</v>
      </c>
    </row>
    <row r="20" spans="1:3" x14ac:dyDescent="0.25">
      <c r="A20" s="65" t="s">
        <v>131</v>
      </c>
      <c r="B20" s="67">
        <v>0.124</v>
      </c>
      <c r="C20" s="67">
        <v>0.03</v>
      </c>
    </row>
    <row r="21" spans="1:3" x14ac:dyDescent="0.25">
      <c r="A21" s="65" t="s">
        <v>69</v>
      </c>
      <c r="B21" s="67">
        <v>0.105</v>
      </c>
      <c r="C21" s="67">
        <v>0.02</v>
      </c>
    </row>
    <row r="23" spans="1:3" x14ac:dyDescent="0.25">
      <c r="A23" s="19" t="s">
        <v>0</v>
      </c>
      <c r="B23" s="65"/>
      <c r="C23" s="65"/>
    </row>
    <row r="24" spans="1:3" x14ac:dyDescent="0.25">
      <c r="A24" s="65"/>
      <c r="B24" s="65" t="s">
        <v>163</v>
      </c>
      <c r="C24" s="65" t="s">
        <v>129</v>
      </c>
    </row>
    <row r="25" spans="1:3" x14ac:dyDescent="0.25">
      <c r="A25" s="65" t="s">
        <v>51</v>
      </c>
      <c r="B25" s="66">
        <v>0</v>
      </c>
      <c r="C25" s="66">
        <v>0</v>
      </c>
    </row>
    <row r="26" spans="1:3" x14ac:dyDescent="0.25">
      <c r="A26" s="65" t="s">
        <v>53</v>
      </c>
      <c r="B26" s="66">
        <v>0.14631597902945337</v>
      </c>
      <c r="C26" s="66">
        <v>1.2795698924731182E-2</v>
      </c>
    </row>
    <row r="27" spans="1:3" x14ac:dyDescent="0.25">
      <c r="A27" s="65" t="s">
        <v>62</v>
      </c>
      <c r="B27" s="66">
        <v>0.18615996501022891</v>
      </c>
      <c r="C27" s="66">
        <v>2.3709677419354837E-2</v>
      </c>
    </row>
    <row r="28" spans="1:3" x14ac:dyDescent="0.25">
      <c r="A28" s="65" t="s">
        <v>63</v>
      </c>
      <c r="B28" s="66">
        <v>0.21478455962991727</v>
      </c>
      <c r="C28" s="66">
        <v>9.7473118279569892E-2</v>
      </c>
    </row>
    <row r="29" spans="1:3" x14ac:dyDescent="0.25">
      <c r="A29" s="65" t="s">
        <v>54</v>
      </c>
      <c r="B29" s="66">
        <v>0.37047536770718215</v>
      </c>
      <c r="C29" s="66">
        <v>7.9408602150537605E-2</v>
      </c>
    </row>
    <row r="30" spans="1:3" x14ac:dyDescent="0.25">
      <c r="A30" s="65" t="s">
        <v>55</v>
      </c>
      <c r="B30" s="66">
        <v>0.29095793747739496</v>
      </c>
      <c r="C30" s="66">
        <v>0.10499999999999997</v>
      </c>
    </row>
    <row r="31" spans="1:3" x14ac:dyDescent="0.25">
      <c r="A31" s="65" t="s">
        <v>64</v>
      </c>
      <c r="B31" s="66">
        <v>0.10865926370897805</v>
      </c>
      <c r="C31" s="66">
        <v>0</v>
      </c>
    </row>
    <row r="32" spans="1:3" x14ac:dyDescent="0.25">
      <c r="A32" s="65" t="s">
        <v>56</v>
      </c>
      <c r="B32" s="66">
        <v>0.32077408388194317</v>
      </c>
      <c r="C32" s="66">
        <v>0.10499999999999997</v>
      </c>
    </row>
    <row r="33" spans="1:3" x14ac:dyDescent="0.25">
      <c r="A33" s="65" t="s">
        <v>57</v>
      </c>
      <c r="B33" s="66">
        <v>0.30547502472294463</v>
      </c>
      <c r="C33" s="66">
        <v>7.6021505376344084E-2</v>
      </c>
    </row>
    <row r="34" spans="1:3" x14ac:dyDescent="0.25">
      <c r="A34" s="65" t="s">
        <v>58</v>
      </c>
      <c r="B34" s="66">
        <v>4.7651461282514851E-2</v>
      </c>
      <c r="C34" s="66">
        <v>0</v>
      </c>
    </row>
    <row r="35" spans="1:3" x14ac:dyDescent="0.25">
      <c r="A35" s="65" t="s">
        <v>65</v>
      </c>
      <c r="B35" s="66">
        <v>6.2236693332684778E-2</v>
      </c>
      <c r="C35" s="66">
        <v>0</v>
      </c>
    </row>
    <row r="36" spans="1:3" x14ac:dyDescent="0.25">
      <c r="A36" s="65" t="s">
        <v>59</v>
      </c>
      <c r="B36" s="66">
        <v>0.17568915286186004</v>
      </c>
      <c r="C36" s="66">
        <v>5.6075268817204281E-2</v>
      </c>
    </row>
    <row r="37" spans="1:3" x14ac:dyDescent="0.25">
      <c r="A37" s="65" t="s">
        <v>66</v>
      </c>
      <c r="B37" s="66">
        <v>0.17923086493798768</v>
      </c>
      <c r="C37" s="66">
        <v>4.5913978494623649E-2</v>
      </c>
    </row>
    <row r="38" spans="1:3" x14ac:dyDescent="0.25">
      <c r="A38" s="65" t="s">
        <v>60</v>
      </c>
      <c r="B38" s="66">
        <v>0.19521176434522203</v>
      </c>
      <c r="C38" s="66">
        <v>8.561827956989243E-2</v>
      </c>
    </row>
    <row r="39" spans="1:3" x14ac:dyDescent="0.25">
      <c r="A39" s="65" t="s">
        <v>61</v>
      </c>
      <c r="B39" s="66">
        <v>0.1761151775105847</v>
      </c>
      <c r="C39" s="66">
        <v>5.8200000000000002E-2</v>
      </c>
    </row>
    <row r="40" spans="1:3" x14ac:dyDescent="0.25">
      <c r="A40" s="65" t="s">
        <v>67</v>
      </c>
      <c r="B40" s="66">
        <v>7.2424563636789951E-2</v>
      </c>
      <c r="C40" s="66">
        <v>2.5215053763440857E-2</v>
      </c>
    </row>
    <row r="41" spans="1:3" x14ac:dyDescent="0.25">
      <c r="A41" s="65" t="s">
        <v>68</v>
      </c>
      <c r="B41" s="66">
        <v>0.3438756926948488</v>
      </c>
      <c r="C41" s="66">
        <v>0.124</v>
      </c>
    </row>
    <row r="42" spans="1:3" x14ac:dyDescent="0.25">
      <c r="A42" s="65" t="s">
        <v>69</v>
      </c>
      <c r="B42" s="66">
        <v>0.10791548440923437</v>
      </c>
      <c r="C42" s="66">
        <v>0.105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Figure1</vt:lpstr>
      <vt:lpstr>Figure2</vt:lpstr>
      <vt:lpstr>Figure3</vt:lpstr>
      <vt:lpstr>Figure4</vt:lpstr>
      <vt:lpstr>Supplementary Figure 1 </vt:lpstr>
      <vt:lpstr>Supplementary Figure 2</vt:lpstr>
      <vt:lpstr>Supplementary Figure 3</vt:lpstr>
      <vt:lpstr>Supplementary Figure 5</vt:lpstr>
      <vt:lpstr>Supplementary Figure 7</vt:lpstr>
      <vt:lpstr>Supplementary Figure 9</vt:lpstr>
    </vt:vector>
  </TitlesOfParts>
  <Company>Imperial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Borkowski, Olivier</dc:creator>
  <cp:lastModifiedBy>Borkowski, Olivier</cp:lastModifiedBy>
  <dcterms:created xsi:type="dcterms:W3CDTF">2017-12-20T17:27:07Z</dcterms:created>
  <dcterms:modified xsi:type="dcterms:W3CDTF">2017-12-21T10:27:50Z</dcterms:modified>
</cp:coreProperties>
</file>